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77a2ad717b4f81/Documentos/DATA ANALYTICS/01 practice/excel/"/>
    </mc:Choice>
  </mc:AlternateContent>
  <xr:revisionPtr revIDLastSave="18" documentId="8_{FD985723-0478-435A-9520-32A7563E9F7A}" xr6:coauthVersionLast="47" xr6:coauthVersionMax="47" xr10:uidLastSave="{E85AD330-307D-45A3-BE8B-150B66E5598B}"/>
  <bookViews>
    <workbookView xWindow="-96" yWindow="0" windowWidth="11712" windowHeight="12336" xr2:uid="{ECF68F26-BB3B-4C62-A962-A2249AA5F13C}"/>
  </bookViews>
  <sheets>
    <sheet name="dashboard" sheetId="13" r:id="rId1"/>
    <sheet name="raw data" sheetId="1" r:id="rId2"/>
    <sheet name="clean data" sheetId="2" r:id="rId3"/>
    <sheet name="cleaning notes" sheetId="3" r:id="rId4"/>
    <sheet name="sales data" sheetId="12" r:id="rId5"/>
    <sheet name="anaylsis" sheetId="4" r:id="rId6"/>
    <sheet name="price list" sheetId="5" r:id="rId7"/>
    <sheet name="pivot analysis" sheetId="7" r:id="rId8"/>
    <sheet name="analysis notes" sheetId="9" r:id="rId9"/>
    <sheet name="sales summary" sheetId="6" r:id="rId10"/>
    <sheet name="KPI analysis" sheetId="10" r:id="rId11"/>
    <sheet name="KPI notes" sheetId="11" r:id="rId12"/>
    <sheet name="data quality" sheetId="14" r:id="rId13"/>
  </sheet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4" l="1"/>
  <c r="N2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B7" i="14"/>
  <c r="M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B5" i="14"/>
  <c r="B4" i="14"/>
  <c r="G8" i="13"/>
  <c r="C8" i="13"/>
  <c r="J25" i="12"/>
  <c r="J24" i="12"/>
  <c r="J23" i="12"/>
  <c r="J22" i="12"/>
  <c r="F17" i="12"/>
  <c r="L16" i="12"/>
  <c r="K16" i="12"/>
  <c r="J16" i="12"/>
  <c r="J21" i="12" s="1"/>
  <c r="L15" i="12"/>
  <c r="K15" i="12"/>
  <c r="J15" i="12"/>
  <c r="L14" i="12"/>
  <c r="K14" i="12"/>
  <c r="J14" i="12"/>
  <c r="L13" i="12"/>
  <c r="K13" i="12"/>
  <c r="J13" i="12"/>
  <c r="L12" i="12"/>
  <c r="K12" i="12"/>
  <c r="J12" i="12"/>
  <c r="L11" i="12"/>
  <c r="K11" i="12"/>
  <c r="J11" i="12"/>
  <c r="L10" i="12"/>
  <c r="K10" i="12"/>
  <c r="L9" i="12"/>
  <c r="K9" i="12"/>
  <c r="J9" i="12"/>
  <c r="L8" i="12"/>
  <c r="K8" i="12"/>
  <c r="J8" i="12"/>
  <c r="L7" i="12"/>
  <c r="K7" i="12"/>
  <c r="J7" i="12"/>
  <c r="L6" i="12"/>
  <c r="K6" i="12"/>
  <c r="J6" i="12"/>
  <c r="L5" i="12"/>
  <c r="K5" i="12"/>
  <c r="J5" i="12"/>
  <c r="L4" i="12"/>
  <c r="K4" i="12"/>
  <c r="J4" i="12"/>
  <c r="L3" i="12"/>
  <c r="K3" i="12"/>
  <c r="J3" i="12"/>
  <c r="L2" i="12"/>
  <c r="K2" i="12"/>
  <c r="J2" i="12"/>
  <c r="B8" i="10"/>
  <c r="B5" i="10"/>
  <c r="B7" i="6"/>
  <c r="B6" i="6"/>
  <c r="B5" i="6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J2" i="2"/>
  <c r="J3" i="2"/>
  <c r="J4" i="2"/>
  <c r="J5" i="2"/>
  <c r="J6" i="2"/>
  <c r="J7" i="2"/>
  <c r="E14" i="13" s="1"/>
  <c r="J8" i="2"/>
  <c r="B15" i="10" s="1"/>
  <c r="J9" i="2"/>
  <c r="J11" i="2"/>
  <c r="J12" i="2"/>
  <c r="J13" i="2"/>
  <c r="J14" i="2"/>
  <c r="J15" i="2"/>
  <c r="J16" i="2"/>
  <c r="D20" i="4"/>
  <c r="D19" i="4"/>
  <c r="D18" i="4"/>
  <c r="B1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D17" i="4"/>
  <c r="E13" i="13" l="1"/>
  <c r="J20" i="12"/>
  <c r="A8" i="13"/>
  <c r="B6" i="14"/>
  <c r="B8" i="6"/>
  <c r="B4" i="10"/>
  <c r="B6" i="10"/>
  <c r="E8" i="13"/>
  <c r="J18" i="12"/>
  <c r="B10" i="10"/>
  <c r="B12" i="13"/>
  <c r="C15" i="10"/>
  <c r="B11" i="10"/>
  <c r="B7" i="10"/>
  <c r="E12" i="13"/>
  <c r="B17" i="10"/>
  <c r="C17" i="10" s="1"/>
  <c r="B16" i="10"/>
  <c r="C16" i="10" s="1"/>
  <c r="B4" i="6"/>
  <c r="B13" i="13"/>
  <c r="J19" i="12"/>
  <c r="J17" i="12"/>
  <c r="B18" i="10" l="1"/>
  <c r="C18" i="10"/>
</calcChain>
</file>

<file path=xl/sharedStrings.xml><?xml version="1.0" encoding="utf-8"?>
<sst xmlns="http://schemas.openxmlformats.org/spreadsheetml/2006/main" count="471" uniqueCount="146">
  <si>
    <t>Date</t>
  </si>
  <si>
    <t>Customer</t>
  </si>
  <si>
    <t>Product</t>
  </si>
  <si>
    <t>Category</t>
  </si>
  <si>
    <t>Quantity</t>
  </si>
  <si>
    <t>Region</t>
  </si>
  <si>
    <t>ORD001</t>
  </si>
  <si>
    <t>Ada</t>
  </si>
  <si>
    <t>Accessories</t>
  </si>
  <si>
    <t>Abuja</t>
  </si>
  <si>
    <t>Card</t>
  </si>
  <si>
    <t>ORD002</t>
  </si>
  <si>
    <t>Chinedu</t>
  </si>
  <si>
    <t>Mouse</t>
  </si>
  <si>
    <t>Electronics</t>
  </si>
  <si>
    <t>Lagos</t>
  </si>
  <si>
    <t>Transfer</t>
  </si>
  <si>
    <t>ORD003</t>
  </si>
  <si>
    <t>Amaka</t>
  </si>
  <si>
    <t>Keyboard</t>
  </si>
  <si>
    <t>Cash</t>
  </si>
  <si>
    <t>ORD004</t>
  </si>
  <si>
    <t>David</t>
  </si>
  <si>
    <t>lagos</t>
  </si>
  <si>
    <t>ORD005</t>
  </si>
  <si>
    <t>Esther</t>
  </si>
  <si>
    <t>Headphones</t>
  </si>
  <si>
    <t>ORD006</t>
  </si>
  <si>
    <t>Favour</t>
  </si>
  <si>
    <t>USB Cable</t>
  </si>
  <si>
    <t>transfer</t>
  </si>
  <si>
    <t>ORD007</t>
  </si>
  <si>
    <t>Grace</t>
  </si>
  <si>
    <t>ORD008</t>
  </si>
  <si>
    <t>Ibrahim</t>
  </si>
  <si>
    <t>ORD009</t>
  </si>
  <si>
    <t>Jane</t>
  </si>
  <si>
    <t>ORD010</t>
  </si>
  <si>
    <t>Kelechi</t>
  </si>
  <si>
    <t>ORD011</t>
  </si>
  <si>
    <t>Mary</t>
  </si>
  <si>
    <t>ORD012</t>
  </si>
  <si>
    <t>Nneka</t>
  </si>
  <si>
    <t>ORD013</t>
  </si>
  <si>
    <t>Obi</t>
  </si>
  <si>
    <t>ORD014</t>
  </si>
  <si>
    <t>Peter</t>
  </si>
  <si>
    <t>ORD015</t>
  </si>
  <si>
    <t>Rita</t>
  </si>
  <si>
    <t>Order ID</t>
  </si>
  <si>
    <t>Unit Price</t>
  </si>
  <si>
    <t>Payment Method</t>
  </si>
  <si>
    <t>Laptop bag</t>
  </si>
  <si>
    <t>Issue</t>
  </si>
  <si>
    <t>Column</t>
  </si>
  <si>
    <t>Action</t>
  </si>
  <si>
    <t>Duplicate record</t>
  </si>
  <si>
    <t>Flagged for investigation</t>
  </si>
  <si>
    <t>Standardize</t>
  </si>
  <si>
    <t>Missing Value</t>
  </si>
  <si>
    <t>Inconsistent Capitalization</t>
  </si>
  <si>
    <t>Removed Duplicate ORD15</t>
  </si>
  <si>
    <t>Revenue</t>
  </si>
  <si>
    <t>average</t>
  </si>
  <si>
    <t>sum</t>
  </si>
  <si>
    <t>max</t>
  </si>
  <si>
    <t>min</t>
  </si>
  <si>
    <t>Abuja Revenue</t>
  </si>
  <si>
    <t>Lagos Revenue</t>
  </si>
  <si>
    <t>Mouse Revenue</t>
  </si>
  <si>
    <t>Mouse rev. from Abj</t>
  </si>
  <si>
    <t>No. of cash payment</t>
  </si>
  <si>
    <t>No. of Lagos Orders</t>
  </si>
  <si>
    <t>No. of card payments</t>
  </si>
  <si>
    <t>Abuja card payments</t>
  </si>
  <si>
    <t>Data Status</t>
  </si>
  <si>
    <t>Lookup Price</t>
  </si>
  <si>
    <t>Sales summary</t>
  </si>
  <si>
    <t>Metric</t>
  </si>
  <si>
    <t>Result</t>
  </si>
  <si>
    <t>Total revenue</t>
  </si>
  <si>
    <t>Number of cash orders</t>
  </si>
  <si>
    <t>Total quantity sold</t>
  </si>
  <si>
    <t>Number of lagos orders</t>
  </si>
  <si>
    <t>Abuja revenue</t>
  </si>
  <si>
    <t>Row Labels</t>
  </si>
  <si>
    <t>Grand Total</t>
  </si>
  <si>
    <t>Sum of Revenue</t>
  </si>
  <si>
    <t>Count of Order ID</t>
  </si>
  <si>
    <t>Sales Analysis Findings</t>
  </si>
  <si>
    <t>Dataset:</t>
  </si>
  <si>
    <t>Cleaned sales practice dataset</t>
  </si>
  <si>
    <t>Total recorded revenue:</t>
  </si>
  <si>
    <t>NGN 256,000 across 15 unique orders</t>
  </si>
  <si>
    <t>Regional performance:</t>
  </si>
  <si>
    <t>Abuja generated ₦178,000, while Lagos generated ₦78,000.</t>
  </si>
  <si>
    <t>Product performance:</t>
  </si>
  <si>
    <t>Laptop Bag generated the highest revenue at ₦75,000. USB Cable generated the lowest at ₦24,000.</t>
  </si>
  <si>
    <t>Card generated the highest revenue at ₦132,000. Transfer had the highest number of orders, with 6 transactions.</t>
  </si>
  <si>
    <t>Payment methods:</t>
  </si>
  <si>
    <t>Data-quality limitation:</t>
  </si>
  <si>
    <t>One order, ORD009, has a missing quantity. Its revenue is excluded from the calculated total, so the true total revenue may be higher.</t>
  </si>
  <si>
    <t>Next investigation:</t>
  </si>
  <si>
    <t>Examine average order value by payment method and investigate the missing quantity before drawing stronger conclusions about customer behaviour.</t>
  </si>
  <si>
    <t>Sales KPI Analysis</t>
  </si>
  <si>
    <t>KPI</t>
  </si>
  <si>
    <t>Total recorded revenue</t>
  </si>
  <si>
    <t>Total unique orders</t>
  </si>
  <si>
    <t>Orders with known revenue</t>
  </si>
  <si>
    <t>Average recorded revenue per known order</t>
  </si>
  <si>
    <t>Orders with missing revenue</t>
  </si>
  <si>
    <t>Revenue by payment method</t>
  </si>
  <si>
    <t>Payment method</t>
  </si>
  <si>
    <t>Revenue Contribution</t>
  </si>
  <si>
    <t>Total</t>
  </si>
  <si>
    <t>14 orders have recorded revenue. One order, ORD009, has a missing quantity and therefore no calculated revenue</t>
  </si>
  <si>
    <t>₦18,285.71. This average is based on 14 orders with known revenue, not all 15 orders.</t>
  </si>
  <si>
    <t xml:space="preserve">Total quantity sold: </t>
  </si>
  <si>
    <t>31 units recorded across orders with known quantities.</t>
  </si>
  <si>
    <t>Revenue contribution by payment method:</t>
  </si>
  <si>
    <t>Cash: ₦52,000 (20.31%)</t>
  </si>
  <si>
    <t>Card: ₦132,000 (51.56%)</t>
  </si>
  <si>
    <t>Transfer: ₦72,000 (28.13%)</t>
  </si>
  <si>
    <t>Key finding:</t>
  </si>
  <si>
    <t>Card payments contributed the largest share of recorded revenue, at 51.56%. However, revenue contribution alone does not establish which payment method generates the most profit.</t>
  </si>
  <si>
    <t>ORD009 has a missing quantity. Its revenue is excluded from the total, so the true total revenue and average revenue across all orders may be higher or otherwise different.</t>
  </si>
  <si>
    <t>Recommended next step:</t>
  </si>
  <si>
    <t>Investigate the missing quantity in ORD009 and analyse costs and profit by payment method before making stronger business recommendations.</t>
  </si>
  <si>
    <t>SALES PERFORMANCE DASHBOARD</t>
  </si>
  <si>
    <t>Reporting Period</t>
  </si>
  <si>
    <t>1-14 September 2025</t>
  </si>
  <si>
    <t>KEY PERFORMANCE INDICATORS</t>
  </si>
  <si>
    <t>Total Recorded Revenue</t>
  </si>
  <si>
    <t>Total Orders</t>
  </si>
  <si>
    <t>Average Revenue per Known Order</t>
  </si>
  <si>
    <t>Total Quantity Sold</t>
  </si>
  <si>
    <t>Data-quality note:</t>
  </si>
  <si>
    <t>Order ORD009 has a missing quantity. Its revenue is excluded from the recorded total of ₦256,000. The average revenue of ₦18,285.71 is based on 14 orders with known revenue, not all 15 orders.</t>
  </si>
  <si>
    <t>DATA QUALITY CHECKS</t>
  </si>
  <si>
    <t>Check</t>
  </si>
  <si>
    <t>Missing quantities</t>
  </si>
  <si>
    <t>Missing revenue values</t>
  </si>
  <si>
    <t>Duplicate order IDs</t>
  </si>
  <si>
    <t>Invalid payment methods</t>
  </si>
  <si>
    <t>Duplicate Check</t>
  </si>
  <si>
    <t>Payment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</si>
</sst>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[$₦-470]#,##0.00"/>
    <numFmt numFmtId="166" formatCode="&quot;₦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0" fontId="0" fillId="2" borderId="2" xfId="0" applyFill="1" applyBorder="1"/>
    <xf numFmtId="0" fontId="0" fillId="0" borderId="2" xfId="0" applyBorder="1"/>
    <xf numFmtId="165" fontId="0" fillId="2" borderId="2" xfId="0" applyNumberFormat="1" applyFill="1" applyBorder="1"/>
    <xf numFmtId="165" fontId="1" fillId="0" borderId="0" xfId="0" applyNumberFormat="1" applyFont="1"/>
    <xf numFmtId="165" fontId="0" fillId="0" borderId="2" xfId="0" applyNumberFormat="1" applyBorder="1"/>
    <xf numFmtId="165" fontId="0" fillId="0" borderId="0" xfId="0" applyNumberFormat="1"/>
    <xf numFmtId="14" fontId="1" fillId="0" borderId="0" xfId="0" applyNumberFormat="1" applyFont="1"/>
    <xf numFmtId="166" fontId="0" fillId="0" borderId="0" xfId="0" applyNumberFormat="1"/>
    <xf numFmtId="166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5" fontId="0" fillId="0" borderId="0" xfId="1" applyNumberFormat="1" applyFont="1"/>
    <xf numFmtId="166" fontId="0" fillId="0" borderId="0" xfId="1" applyNumberFormat="1" applyFont="1"/>
    <xf numFmtId="9" fontId="0" fillId="0" borderId="0" xfId="2" applyFont="1"/>
    <xf numFmtId="0" fontId="0" fillId="0" borderId="0" xfId="0" applyAlignment="1">
      <alignment horizontal="center" vertical="center"/>
    </xf>
    <xf numFmtId="166" fontId="1" fillId="0" borderId="0" xfId="1" applyNumberFormat="1" applyFont="1"/>
    <xf numFmtId="0" fontId="0" fillId="3" borderId="3" xfId="0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34">
    <dxf>
      <numFmt numFmtId="0" formatCode="General"/>
    </dxf>
    <dxf>
      <numFmt numFmtId="166" formatCode="&quot;₦&quot;#,##0.00"/>
    </dxf>
    <dxf>
      <numFmt numFmtId="166" formatCode="&quot;₦&quot;#,##0.00"/>
    </dxf>
    <dxf>
      <numFmt numFmtId="166" formatCode="&quot;₦&quot;#,##0.00"/>
    </dxf>
    <dxf>
      <numFmt numFmtId="19" formatCode="dd/mm/yyyy"/>
    </dxf>
    <dxf>
      <numFmt numFmtId="30" formatCode="@"/>
    </dxf>
    <dxf>
      <numFmt numFmtId="166" formatCode="&quot;₦&quot;#,##0.00"/>
    </dxf>
    <dxf>
      <numFmt numFmtId="0" formatCode="General"/>
    </dxf>
    <dxf>
      <numFmt numFmtId="166" formatCode="&quot;₦&quot;#,##0.00"/>
    </dxf>
    <dxf>
      <numFmt numFmtId="166" formatCode="&quot;₦&quot;#,##0.00"/>
    </dxf>
    <dxf>
      <numFmt numFmtId="0" formatCode="General"/>
    </dxf>
    <dxf>
      <numFmt numFmtId="19" formatCode="dd/mm/yyyy"/>
    </dxf>
    <dxf>
      <numFmt numFmtId="30" formatCode="@"/>
    </dxf>
    <dxf>
      <numFmt numFmtId="166" formatCode="&quot;₦&quot;#,##0.00"/>
    </dxf>
    <dxf>
      <numFmt numFmtId="166" formatCode="&quot;₦&quot;#,##0.00"/>
    </dxf>
    <dxf>
      <numFmt numFmtId="166" formatCode="&quot;₦&quot;#,##0.00"/>
    </dxf>
    <dxf>
      <numFmt numFmtId="19" formatCode="dd/mm/yyyy"/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numFmt numFmtId="166" formatCode="&quot;₦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₦-470]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&quot;₦&quot;#,##0.00"/>
    </dxf>
    <dxf>
      <numFmt numFmtId="0" formatCode="General"/>
    </dxf>
    <dxf>
      <numFmt numFmtId="166" formatCode="&quot;₦&quot;#,##0.00"/>
    </dxf>
    <dxf>
      <numFmt numFmtId="166" formatCode="&quot;₦&quot;#,##0.00"/>
    </dxf>
    <dxf>
      <numFmt numFmtId="0" formatCode="General"/>
    </dxf>
    <dxf>
      <numFmt numFmtId="19" formatCode="dd/mm/yyyy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dashboard!$A$12:$A$13</c:f>
              <c:strCache>
                <c:ptCount val="2"/>
                <c:pt idx="0">
                  <c:v>Abuja</c:v>
                </c:pt>
                <c:pt idx="1">
                  <c:v>Lagos</c:v>
                </c:pt>
              </c:strCache>
            </c:strRef>
          </c:cat>
          <c:val>
            <c:numRef>
              <c:f>dashboard!$B$12:$B$13</c:f>
              <c:numCache>
                <c:formatCode>"₦"#,##0.00</c:formatCode>
                <c:ptCount val="2"/>
                <c:pt idx="0">
                  <c:v>178000</c:v>
                </c:pt>
                <c:pt idx="1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8-4BA1-9174-280F6D6D0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068552"/>
        <c:axId val="688068912"/>
      </c:barChart>
      <c:catAx>
        <c:axId val="68806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8068912"/>
        <c:crosses val="autoZero"/>
        <c:auto val="1"/>
        <c:lblAlgn val="ctr"/>
        <c:lblOffset val="100"/>
        <c:noMultiLvlLbl val="0"/>
      </c:catAx>
      <c:valAx>
        <c:axId val="6880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₦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8068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dashboard!$D$12:$D$14</c:f>
              <c:strCache>
                <c:ptCount val="3"/>
                <c:pt idx="0">
                  <c:v>Cash</c:v>
                </c:pt>
                <c:pt idx="1">
                  <c:v>Card</c:v>
                </c:pt>
                <c:pt idx="2">
                  <c:v>Transfer</c:v>
                </c:pt>
              </c:strCache>
            </c:strRef>
          </c:cat>
          <c:val>
            <c:numRef>
              <c:f>dashboard!$E$12:$E$14</c:f>
              <c:numCache>
                <c:formatCode>"₦"#,##0.00</c:formatCode>
                <c:ptCount val="3"/>
                <c:pt idx="0">
                  <c:v>52000</c:v>
                </c:pt>
                <c:pt idx="1">
                  <c:v>132000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9-465B-B9FC-FAD47C5B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781088"/>
        <c:axId val="465774608"/>
      </c:barChart>
      <c:catAx>
        <c:axId val="46578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5774608"/>
        <c:crosses val="autoZero"/>
        <c:auto val="1"/>
        <c:lblAlgn val="ctr"/>
        <c:lblOffset val="100"/>
        <c:noMultiLvlLbl val="0"/>
      </c:catAx>
      <c:valAx>
        <c:axId val="4657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₦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578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practice.xlsx]pivot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analysis'!$A$18:$A$21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Transfer</c:v>
                </c:pt>
              </c:strCache>
            </c:strRef>
          </c:cat>
          <c:val>
            <c:numRef>
              <c:f>'pivot analysis'!$B$18:$B$21</c:f>
              <c:numCache>
                <c:formatCode>"₦"#,##0.00</c:formatCode>
                <c:ptCount val="3"/>
                <c:pt idx="0">
                  <c:v>132000</c:v>
                </c:pt>
                <c:pt idx="1">
                  <c:v>52000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8-4DD5-A0F5-7D9860300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79568"/>
        <c:axId val="619683168"/>
      </c:barChart>
      <c:catAx>
        <c:axId val="61967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9683168"/>
        <c:crosses val="autoZero"/>
        <c:auto val="1"/>
        <c:lblAlgn val="ctr"/>
        <c:lblOffset val="100"/>
        <c:noMultiLvlLbl val="0"/>
      </c:catAx>
      <c:valAx>
        <c:axId val="61968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₦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967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43544</xdr:colOff>
      <xdr:row>15</xdr:row>
      <xdr:rowOff>21771</xdr:rowOff>
    </xdr:from>
    <xdr:to>
      <xdr:col>2</xdr:col>
      <xdr:colOff>827315</xdr:colOff>
      <xdr:row>29</xdr:row>
      <xdr:rowOff>174171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3F663-8F76-90FF-452E-FC7B2363C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43543</xdr:colOff>
      <xdr:row>15</xdr:row>
      <xdr:rowOff>10886</xdr:rowOff>
    </xdr:from>
    <xdr:to>
      <xdr:col>6</xdr:col>
      <xdr:colOff>772886</xdr:colOff>
      <xdr:row>29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AC3EB-E94C-7ED6-B1F5-37BA52A81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1</xdr:row>
      <xdr:rowOff>179070</xdr:rowOff>
    </xdr:from>
    <xdr:to>
      <xdr:col>9</xdr:col>
      <xdr:colOff>502920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AA7A6-987B-52A1-EBA6-45AE099A0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ncess N.Bernard" refreshedDate="46311.722450810186" createdVersion="8" refreshedVersion="8" minRefreshableVersion="3" recordCount="15" xr:uid="{B5019FD3-3F31-4684-B32E-317BF5014135}">
  <cacheSource type="worksheet">
    <worksheetSource name="SalesData"/>
  </cacheSource>
  <cacheFields count="12">
    <cacheField name="Order ID" numFmtId="49">
      <sharedItems count="15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</sharedItems>
    </cacheField>
    <cacheField name="Date" numFmtId="14">
      <sharedItems containsSemiMixedTypes="0" containsNonDate="0" containsDate="1" containsString="0" minDate="2026-09-01T00:00:00" maxDate="2026-09-15T00:00:00"/>
    </cacheField>
    <cacheField name="Customer" numFmtId="0">
      <sharedItems/>
    </cacheField>
    <cacheField name="Product" numFmtId="0">
      <sharedItems count="5">
        <s v="Laptop bag"/>
        <s v="Mouse"/>
        <s v="Keyboard"/>
        <s v="Headphones"/>
        <s v="USB Cable"/>
      </sharedItems>
    </cacheField>
    <cacheField name="Category" numFmtId="0">
      <sharedItems/>
    </cacheField>
    <cacheField name="Quantity" numFmtId="0">
      <sharedItems containsString="0" containsBlank="1" containsNumber="1" containsInteger="1" minValue="1" maxValue="5"/>
    </cacheField>
    <cacheField name="Unit Price" numFmtId="166">
      <sharedItems containsSemiMixedTypes="0" containsString="0" containsNumber="1" containsInteger="1" minValue="3000" maxValue="18000"/>
    </cacheField>
    <cacheField name="Region" numFmtId="0">
      <sharedItems/>
    </cacheField>
    <cacheField name="Payment Method" numFmtId="0">
      <sharedItems count="3">
        <s v="Card"/>
        <s v="Transfer"/>
        <s v="Cash"/>
      </sharedItems>
    </cacheField>
    <cacheField name="Revenue" numFmtId="166">
      <sharedItems containsSemiMixedTypes="0" containsString="0" containsNumber="1" containsInteger="1" minValue="0" maxValue="36000"/>
    </cacheField>
    <cacheField name="Data Status" numFmtId="0">
      <sharedItems/>
    </cacheField>
    <cacheField name="Lookup Price" numFmtId="166">
      <sharedItems containsSemiMixedTypes="0" containsString="0" containsNumber="1" containsInteger="1" minValue="30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6-09-01T00:00:00"/>
    <s v="Ada"/>
    <x v="0"/>
    <s v="Accessories"/>
    <n v="2"/>
    <n v="15000"/>
    <s v="Abuja"/>
    <x v="0"/>
    <n v="30000"/>
    <s v="Complete"/>
    <n v="15000"/>
  </r>
  <r>
    <x v="1"/>
    <d v="2026-09-02T00:00:00"/>
    <s v="Chinedu"/>
    <x v="1"/>
    <s v="Electronics"/>
    <n v="3"/>
    <n v="5000"/>
    <s v="Lagos"/>
    <x v="1"/>
    <n v="15000"/>
    <s v="Complete"/>
    <n v="5000"/>
  </r>
  <r>
    <x v="2"/>
    <d v="2026-09-02T00:00:00"/>
    <s v="Amaka"/>
    <x v="2"/>
    <s v="Electronics"/>
    <n v="1"/>
    <n v="12000"/>
    <s v="Abuja"/>
    <x v="2"/>
    <n v="12000"/>
    <s v="Complete"/>
    <n v="12000"/>
  </r>
  <r>
    <x v="3"/>
    <d v="2026-09-03T00:00:00"/>
    <s v="David"/>
    <x v="0"/>
    <s v="Accessories"/>
    <n v="1"/>
    <n v="15000"/>
    <s v="Lagos"/>
    <x v="1"/>
    <n v="15000"/>
    <s v="Complete"/>
    <n v="15000"/>
  </r>
  <r>
    <x v="4"/>
    <d v="2026-09-04T00:00:00"/>
    <s v="Esther"/>
    <x v="3"/>
    <s v="Electronics"/>
    <n v="2"/>
    <n v="18000"/>
    <s v="Abuja"/>
    <x v="0"/>
    <n v="36000"/>
    <s v="Complete"/>
    <n v="18000"/>
  </r>
  <r>
    <x v="5"/>
    <d v="2026-09-05T00:00:00"/>
    <s v="Favour"/>
    <x v="4"/>
    <s v="Accessories"/>
    <n v="5"/>
    <n v="3000"/>
    <s v="Abuja"/>
    <x v="1"/>
    <n v="15000"/>
    <s v="Complete"/>
    <n v="3000"/>
  </r>
  <r>
    <x v="6"/>
    <d v="2026-09-06T00:00:00"/>
    <s v="Grace"/>
    <x v="1"/>
    <s v="Electronics"/>
    <n v="2"/>
    <n v="5000"/>
    <s v="Lagos"/>
    <x v="2"/>
    <n v="10000"/>
    <s v="Complete"/>
    <n v="5000"/>
  </r>
  <r>
    <x v="7"/>
    <d v="2026-09-07T00:00:00"/>
    <s v="Ibrahim"/>
    <x v="2"/>
    <s v="Electronics"/>
    <n v="1"/>
    <n v="12000"/>
    <s v="Abuja"/>
    <x v="0"/>
    <n v="12000"/>
    <s v="Complete"/>
    <n v="12000"/>
  </r>
  <r>
    <x v="8"/>
    <d v="2026-09-08T00:00:00"/>
    <s v="Jane"/>
    <x v="3"/>
    <s v="Electronics"/>
    <m/>
    <n v="18000"/>
    <s v="Lagos"/>
    <x v="1"/>
    <n v="0"/>
    <s v="Missing quantity"/>
    <n v="18000"/>
  </r>
  <r>
    <x v="9"/>
    <d v="2026-09-09T00:00:00"/>
    <s v="Kelechi"/>
    <x v="0"/>
    <s v="Accessories"/>
    <n v="2"/>
    <n v="15000"/>
    <s v="Abuja"/>
    <x v="0"/>
    <n v="30000"/>
    <s v="Complete"/>
    <n v="15000"/>
  </r>
  <r>
    <x v="10"/>
    <d v="2026-09-10T00:00:00"/>
    <s v="Mary"/>
    <x v="1"/>
    <s v="Electronics"/>
    <n v="4"/>
    <n v="5000"/>
    <s v="Lagos"/>
    <x v="2"/>
    <n v="20000"/>
    <s v="Complete"/>
    <n v="5000"/>
  </r>
  <r>
    <x v="11"/>
    <d v="2026-09-11T00:00:00"/>
    <s v="Nneka"/>
    <x v="4"/>
    <s v="Accessories"/>
    <n v="3"/>
    <n v="3000"/>
    <s v="Abuja"/>
    <x v="1"/>
    <n v="9000"/>
    <s v="Complete"/>
    <n v="3000"/>
  </r>
  <r>
    <x v="12"/>
    <d v="2026-09-12T00:00:00"/>
    <s v="Obi"/>
    <x v="2"/>
    <s v="Electronics"/>
    <n v="2"/>
    <n v="12000"/>
    <s v="Abuja"/>
    <x v="0"/>
    <n v="24000"/>
    <s v="Complete"/>
    <n v="12000"/>
  </r>
  <r>
    <x v="13"/>
    <d v="2026-09-13T00:00:00"/>
    <s v="Peter"/>
    <x v="3"/>
    <s v="Electronics"/>
    <n v="1"/>
    <n v="18000"/>
    <s v="Lagos"/>
    <x v="1"/>
    <n v="18000"/>
    <s v="Complete"/>
    <n v="18000"/>
  </r>
  <r>
    <x v="14"/>
    <d v="2026-09-14T00:00:00"/>
    <s v="Rita"/>
    <x v="1"/>
    <s v="Electronics"/>
    <n v="2"/>
    <n v="5000"/>
    <s v="Abuja"/>
    <x v="2"/>
    <n v="10000"/>
    <s v="Complete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FFE59-3E77-4944-B6D6-F26E64FACF4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B21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numFmtId="166" showAll="0"/>
    <pivotField showAll="0"/>
    <pivotField axis="axisRow" showAll="0">
      <items count="4">
        <item x="0"/>
        <item x="2"/>
        <item x="1"/>
        <item t="default"/>
      </items>
    </pivotField>
    <pivotField dataField="1" numFmtId="166" showAll="0"/>
    <pivotField showAll="0"/>
    <pivotField numFmtId="166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9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E784E-D222-43E9-80B7-8448171399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12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4" showAll="0"/>
    <pivotField showAll="0"/>
    <pivotField showAll="0"/>
    <pivotField showAll="0"/>
    <pivotField showAll="0"/>
    <pivotField numFmtId="166" showAll="0"/>
    <pivotField showAll="0"/>
    <pivotField axis="axisRow" showAll="0">
      <items count="4">
        <item x="0"/>
        <item x="2"/>
        <item x="1"/>
        <item t="default"/>
      </items>
    </pivotField>
    <pivotField numFmtId="166" showAll="0"/>
    <pivotField showAll="0"/>
    <pivotField numFmtId="166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2B420-E126-4B78-B675-5C86EDC2FE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numFmtId="14"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numFmtId="166" showAll="0"/>
    <pivotField showAll="0"/>
    <pivotField showAll="0"/>
    <pivotField dataField="1" numFmtId="166" showAll="0"/>
    <pivotField showAll="0"/>
    <pivotField numFmtId="166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F481AB-8F40-4901-8333-F48204FAE6D4}" name="SalesData" displayName="SalesData" ref="A1:L17" totalsRowCount="1" headerRowDxfId="33">
  <autoFilter ref="A1:L16" xr:uid="{A2F481AB-8F40-4901-8333-F48204FAE6D4}"/>
  <tableColumns count="12">
    <tableColumn id="1" xr3:uid="{B428045C-C696-4649-A789-642087C0B3FA}" name="Order ID" dataDxfId="32" totalsRowDxfId="17"/>
    <tableColumn id="2" xr3:uid="{D4AA8129-96D3-4D4E-9A52-948CC46ACBB0}" name="Date" dataDxfId="31" totalsRowDxfId="16"/>
    <tableColumn id="3" xr3:uid="{3B568780-437D-4585-93C6-7D3B4BDF4F5C}" name="Customer"/>
    <tableColumn id="4" xr3:uid="{A672225D-FC5A-41ED-9DAF-FD89071162F2}" name="Product"/>
    <tableColumn id="5" xr3:uid="{6CC6E9CD-B5D2-49ED-9C00-B5F98A18A6DC}" name="Category"/>
    <tableColumn id="6" xr3:uid="{96A325FC-E5D1-4B62-8941-E4798FCCECD4}" name="Quantity" dataDxfId="30"/>
    <tableColumn id="7" xr3:uid="{2D472803-50B5-4A15-A5B7-20F0E72B51B6}" name="Unit Price" dataDxfId="29" totalsRowDxfId="15"/>
    <tableColumn id="8" xr3:uid="{2DDEAFA0-C13C-4BF4-8F5E-E46CCD37D247}" name="Region"/>
    <tableColumn id="9" xr3:uid="{BBB8C4D0-3857-4131-9373-30E6A24E035B}" name="Payment Method"/>
    <tableColumn id="10" xr3:uid="{AE7C8E78-E17D-49E7-8A3F-1EC1D790C1B6}" name="Revenue" dataDxfId="28" totalsRowDxfId="14">
      <calculatedColumnFormula>SUM(F2*G2)</calculatedColumnFormula>
    </tableColumn>
    <tableColumn id="11" xr3:uid="{7D483E45-E4AD-4BDC-9D84-1361C380B953}" name="Data Status" dataDxfId="27">
      <calculatedColumnFormula>IF(SalesData[[#This Row],[Quantity]]="", "Missing quantity", "Complete")</calculatedColumnFormula>
    </tableColumn>
    <tableColumn id="12" xr3:uid="{60F2A081-B13E-4267-8A25-3DC1523E23D5}" name="Lookup Price" dataDxfId="26" totalsRowDxfId="13">
      <calculatedColumnFormula>VLOOKUP(SalesData[[#This Row],[Product]],'price list'!$A$2:$B$6,2,FALSE)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2064F2-6700-4CC5-9407-4DF32744B830}" name="SalesData3" displayName="SalesData3" ref="A1:N17" totalsRowCount="1" headerRowDxfId="25">
  <autoFilter ref="A1:N16" xr:uid="{A2F481AB-8F40-4901-8333-F48204FAE6D4}"/>
  <tableColumns count="14">
    <tableColumn id="1" xr3:uid="{7361E45A-81FD-4A5D-8D0F-1FA37EE100A1}" name="Order ID" dataDxfId="12" totalsRowDxfId="5"/>
    <tableColumn id="2" xr3:uid="{BD6822C9-87EB-4D5B-8513-D7C3E58CF188}" name="Date" dataDxfId="11" totalsRowDxfId="4"/>
    <tableColumn id="3" xr3:uid="{B035CB4C-B90E-4A4F-9126-947C71564491}" name="Customer"/>
    <tableColumn id="4" xr3:uid="{426907E1-14B8-4960-8AA8-558387E16811}" name="Product"/>
    <tableColumn id="5" xr3:uid="{DF34348F-0693-4728-9055-929BADEFABFA}" name="Category"/>
    <tableColumn id="6" xr3:uid="{AAA96256-DF4F-4EE7-BA5E-23BD20889F1E}" name="Quantity" totalsRowFunction="sum" dataDxfId="10"/>
    <tableColumn id="7" xr3:uid="{05036C65-4F82-46C4-9253-96DDA0A7E63D}" name="Unit Price" dataDxfId="9" totalsRowDxfId="3"/>
    <tableColumn id="8" xr3:uid="{3810A61D-446C-4BBA-B10F-2C7CB334E2C5}" name="Region"/>
    <tableColumn id="9" xr3:uid="{0F441078-D65C-41BA-BCB8-D1419E8E4566}" name="Payment Method"/>
    <tableColumn id="10" xr3:uid="{DCA875AB-7AEB-4B74-ABD2-B2E6B6686AC1}" name="Revenue" totalsRowFunction="custom" dataDxfId="8" totalsRowDxfId="2">
      <calculatedColumnFormula>SUM(F2*G2)</calculatedColumnFormula>
      <totalsRowFormula>SUM(SalesData3[Revenue])</totalsRowFormula>
    </tableColumn>
    <tableColumn id="11" xr3:uid="{9BC7FBC8-BF96-4E5D-9699-04279EBCC5C3}" name="Data Status" dataDxfId="7">
      <calculatedColumnFormula>IF(SalesData3[[#This Row],[Quantity]]="", "Missing quantity", "Complete")</calculatedColumnFormula>
    </tableColumn>
    <tableColumn id="12" xr3:uid="{8E86B119-7F8A-42C1-9DFF-ECB09F8F3BA4}" name="Lookup Price" dataDxfId="6" totalsRowDxfId="1">
      <calculatedColumnFormula>VLOOKUP(SalesData3[[#This Row],[Product]],'price list'!$A$2:$B$6,2,FALSE)</calculatedColumnFormula>
    </tableColumn>
    <tableColumn id="13" xr3:uid="{BA8EF5B1-DBC5-4D23-9BFF-51F9378998E3}" name="Duplicate Check">
      <calculatedColumnFormula>COUNTIF(SalesData[Order ID],SalesData[[#This Row],[Order ID]])</calculatedColumnFormula>
    </tableColumn>
    <tableColumn id="14" xr3:uid="{995E94C2-A1A5-4BFC-8B95-2444DA28D531}" name="Payment Check" dataDxfId="0">
      <calculatedColumnFormula>IF(OR(SalesData3[[#This Row],[Payment Method]]="Cash",SalesData3[[#This Row],[Payment Method]]="Card",SalesData3[[#This Row],[Payment Method]]="Transfer"),"Valid", "Invalid")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1468DF-3E2B-4F48-A782-0B5694171358}" name="Table5" displayName="Table5" ref="A1:D16" totalsRowShown="0" headerRowDxfId="24">
  <autoFilter ref="A1:D16" xr:uid="{AB1468DF-3E2B-4F48-A782-0B5694171358}"/>
  <tableColumns count="4">
    <tableColumn id="1" xr3:uid="{A32D6C69-98C0-4F96-A33F-548717BDEAC2}" name="Order ID" dataDxfId="23"/>
    <tableColumn id="2" xr3:uid="{2AD219CA-A71B-456A-9B19-4BBBE9C1D162}" name="Quantity" dataDxfId="22"/>
    <tableColumn id="3" xr3:uid="{0564D6D7-C6A3-4FCC-A9EE-F4D63669E290}" name="Unit Price" dataDxfId="21"/>
    <tableColumn id="4" xr3:uid="{C495247E-8003-4D6C-906A-E528E8C9EB92}" name="Revenue">
      <calculatedColumnFormula>B2*C2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F6529-1482-4DA5-A2B1-36BA69A679ED}" name="PriceList" displayName="PriceList" ref="A1:B6" totalsRowShown="0" headerRowDxfId="20">
  <autoFilter ref="A1:B6" xr:uid="{A6BF6529-1482-4DA5-A2B1-36BA69A679ED}"/>
  <tableColumns count="2">
    <tableColumn id="1" xr3:uid="{2B1F0A1C-6C55-4D3B-A9C9-93AF9EB1899B}" name="Product"/>
    <tableColumn id="2" xr3:uid="{25EDC84D-AFF5-42CB-AE1F-07164973479A}" name="Unit Price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950F-6753-4EDA-87D8-03D18462044A}">
  <dimension ref="A1:H34"/>
  <sheetViews>
    <sheetView tabSelected="1" zoomScale="70" zoomScaleNormal="70" workbookViewId="0">
      <selection activeCell="A32" sqref="A32"/>
    </sheetView>
  </sheetViews>
  <sheetFormatPr defaultRowHeight="14.4" x14ac:dyDescent="0.3"/>
  <cols>
    <col min="1" max="1" width="29.109375" customWidth="1"/>
    <col min="2" max="2" width="19.6640625" customWidth="1"/>
    <col min="3" max="3" width="13.21875" customWidth="1"/>
    <col min="4" max="4" width="15.88671875" customWidth="1"/>
    <col min="5" max="5" width="31.21875" customWidth="1"/>
    <col min="7" max="7" width="17.44140625" customWidth="1"/>
  </cols>
  <sheetData>
    <row r="1" spans="1:8" ht="21" x14ac:dyDescent="0.4">
      <c r="A1" s="29" t="s">
        <v>128</v>
      </c>
      <c r="B1" s="29"/>
      <c r="C1" s="29"/>
      <c r="D1" s="29"/>
      <c r="E1" s="29"/>
      <c r="F1" s="29"/>
      <c r="G1" s="29"/>
      <c r="H1" s="29"/>
    </row>
    <row r="3" spans="1:8" x14ac:dyDescent="0.3">
      <c r="A3" t="s">
        <v>129</v>
      </c>
      <c r="B3" t="s">
        <v>130</v>
      </c>
    </row>
    <row r="5" spans="1:8" x14ac:dyDescent="0.3">
      <c r="A5" t="s">
        <v>131</v>
      </c>
    </row>
    <row r="7" spans="1:8" x14ac:dyDescent="0.3">
      <c r="A7" s="26" t="s">
        <v>132</v>
      </c>
      <c r="C7" s="26" t="s">
        <v>133</v>
      </c>
      <c r="E7" s="26" t="s">
        <v>134</v>
      </c>
      <c r="G7" s="26" t="s">
        <v>135</v>
      </c>
    </row>
    <row r="8" spans="1:8" ht="21" x14ac:dyDescent="0.3">
      <c r="A8" s="27">
        <f>SUM(SalesData[Revenue])</f>
        <v>256000</v>
      </c>
      <c r="C8" s="28">
        <f>COUNTA(SalesData[Order ID])</f>
        <v>15</v>
      </c>
      <c r="E8" s="27">
        <f>AVERAGE(SalesData[Revenue])</f>
        <v>18285.714285714286</v>
      </c>
      <c r="G8" s="28">
        <f>SUM(SalesData[Quantity])</f>
        <v>31</v>
      </c>
    </row>
    <row r="11" spans="1:8" x14ac:dyDescent="0.3">
      <c r="A11" s="2" t="s">
        <v>5</v>
      </c>
      <c r="B11" s="2" t="s">
        <v>62</v>
      </c>
      <c r="D11" s="2" t="s">
        <v>51</v>
      </c>
      <c r="E11" s="2" t="s">
        <v>62</v>
      </c>
    </row>
    <row r="12" spans="1:8" x14ac:dyDescent="0.3">
      <c r="A12" t="s">
        <v>9</v>
      </c>
      <c r="B12" s="16">
        <f>SUMIF(SalesData[Region],A12,SalesData[Revenue])</f>
        <v>178000</v>
      </c>
      <c r="D12" t="s">
        <v>20</v>
      </c>
      <c r="E12" s="16">
        <f>SUMIF(SalesData[Payment Method],D12,SalesData[Revenue])</f>
        <v>52000</v>
      </c>
    </row>
    <row r="13" spans="1:8" x14ac:dyDescent="0.3">
      <c r="A13" t="s">
        <v>15</v>
      </c>
      <c r="B13" s="16">
        <f>SUMIF(SalesData[Region],A13,SalesData[Revenue])</f>
        <v>78000</v>
      </c>
      <c r="D13" t="s">
        <v>10</v>
      </c>
      <c r="E13" s="16">
        <f>SUMIF(SalesData[Payment Method],D13,SalesData[Revenue])</f>
        <v>132000</v>
      </c>
    </row>
    <row r="14" spans="1:8" x14ac:dyDescent="0.3">
      <c r="D14" t="s">
        <v>16</v>
      </c>
      <c r="E14" s="16">
        <f>SUMIF(SalesData[Payment Method],D14,SalesData[Revenue])</f>
        <v>72000</v>
      </c>
    </row>
    <row r="17" spans="1:4" x14ac:dyDescent="0.3">
      <c r="D17" s="24"/>
    </row>
    <row r="32" spans="1:4" x14ac:dyDescent="0.3">
      <c r="A32" s="2" t="s">
        <v>136</v>
      </c>
    </row>
    <row r="33" spans="1:5" ht="14.4" customHeight="1" x14ac:dyDescent="0.3">
      <c r="A33" s="30" t="s">
        <v>137</v>
      </c>
      <c r="B33" s="30"/>
      <c r="C33" s="30"/>
      <c r="D33" s="30"/>
      <c r="E33" s="30"/>
    </row>
    <row r="34" spans="1:5" x14ac:dyDescent="0.3">
      <c r="A34" s="30"/>
      <c r="B34" s="30"/>
      <c r="C34" s="30"/>
      <c r="D34" s="30"/>
      <c r="E34" s="30"/>
    </row>
  </sheetData>
  <mergeCells count="2">
    <mergeCell ref="A1:H1"/>
    <mergeCell ref="A33:E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8EE0-A018-4FA7-83B0-678754E43B38}">
  <dimension ref="A1:I17"/>
  <sheetViews>
    <sheetView zoomScale="80" zoomScaleNormal="80" workbookViewId="0">
      <selection activeCell="C29" sqref="C29"/>
    </sheetView>
  </sheetViews>
  <sheetFormatPr defaultRowHeight="14.4" x14ac:dyDescent="0.3"/>
  <cols>
    <col min="2" max="2" width="10.5546875" style="1" bestFit="1" customWidth="1"/>
    <col min="3" max="3" width="10.44140625" customWidth="1"/>
    <col min="4" max="4" width="14.33203125" customWidth="1"/>
    <col min="5" max="5" width="14.109375" customWidth="1"/>
    <col min="7" max="7" width="10" customWidth="1"/>
    <col min="9" max="9" width="16.33203125" customWidth="1"/>
  </cols>
  <sheetData>
    <row r="1" spans="1:9" s="3" customFormat="1" x14ac:dyDescent="0.3">
      <c r="A1" s="3" t="s">
        <v>49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50</v>
      </c>
      <c r="H1" s="3" t="s">
        <v>5</v>
      </c>
      <c r="I1" s="3" t="s">
        <v>51</v>
      </c>
    </row>
    <row r="2" spans="1:9" x14ac:dyDescent="0.3">
      <c r="A2" t="s">
        <v>6</v>
      </c>
      <c r="B2" s="1">
        <v>46266</v>
      </c>
      <c r="C2" t="s">
        <v>7</v>
      </c>
      <c r="D2" t="s">
        <v>52</v>
      </c>
      <c r="E2" t="s">
        <v>8</v>
      </c>
      <c r="F2">
        <v>2</v>
      </c>
      <c r="G2">
        <v>15000</v>
      </c>
      <c r="H2" t="s">
        <v>9</v>
      </c>
      <c r="I2" t="s">
        <v>10</v>
      </c>
    </row>
    <row r="3" spans="1:9" x14ac:dyDescent="0.3">
      <c r="A3" t="s">
        <v>11</v>
      </c>
      <c r="B3" s="1">
        <v>46267</v>
      </c>
      <c r="C3" t="s">
        <v>12</v>
      </c>
      <c r="D3" t="s">
        <v>13</v>
      </c>
      <c r="E3" t="s">
        <v>14</v>
      </c>
      <c r="F3">
        <v>3</v>
      </c>
      <c r="G3">
        <v>5000</v>
      </c>
      <c r="H3" t="s">
        <v>15</v>
      </c>
      <c r="I3" t="s">
        <v>16</v>
      </c>
    </row>
    <row r="4" spans="1:9" x14ac:dyDescent="0.3">
      <c r="A4" t="s">
        <v>17</v>
      </c>
      <c r="B4" s="1">
        <v>46267</v>
      </c>
      <c r="C4" t="s">
        <v>18</v>
      </c>
      <c r="D4" t="s">
        <v>19</v>
      </c>
      <c r="E4" t="s">
        <v>14</v>
      </c>
      <c r="F4">
        <v>1</v>
      </c>
      <c r="G4">
        <v>12000</v>
      </c>
      <c r="H4" t="s">
        <v>9</v>
      </c>
      <c r="I4" t="s">
        <v>20</v>
      </c>
    </row>
    <row r="5" spans="1:9" x14ac:dyDescent="0.3">
      <c r="A5" t="s">
        <v>21</v>
      </c>
      <c r="B5" s="1">
        <v>46268</v>
      </c>
      <c r="C5" t="s">
        <v>22</v>
      </c>
      <c r="D5" t="s">
        <v>52</v>
      </c>
      <c r="E5" t="s">
        <v>8</v>
      </c>
      <c r="F5">
        <v>1</v>
      </c>
      <c r="G5">
        <v>15000</v>
      </c>
      <c r="H5" t="s">
        <v>23</v>
      </c>
      <c r="I5" t="s">
        <v>16</v>
      </c>
    </row>
    <row r="6" spans="1:9" x14ac:dyDescent="0.3">
      <c r="A6" t="s">
        <v>24</v>
      </c>
      <c r="B6" s="1">
        <v>46269</v>
      </c>
      <c r="C6" t="s">
        <v>25</v>
      </c>
      <c r="D6" t="s">
        <v>26</v>
      </c>
      <c r="E6" t="s">
        <v>14</v>
      </c>
      <c r="F6">
        <v>2</v>
      </c>
      <c r="G6">
        <v>18000</v>
      </c>
      <c r="H6" t="s">
        <v>9</v>
      </c>
      <c r="I6" t="s">
        <v>10</v>
      </c>
    </row>
    <row r="7" spans="1:9" x14ac:dyDescent="0.3">
      <c r="A7" t="s">
        <v>27</v>
      </c>
      <c r="B7" s="1">
        <v>46270</v>
      </c>
      <c r="C7" t="s">
        <v>28</v>
      </c>
      <c r="D7" t="s">
        <v>29</v>
      </c>
      <c r="E7" t="s">
        <v>8</v>
      </c>
      <c r="F7">
        <v>5</v>
      </c>
      <c r="G7">
        <v>3000</v>
      </c>
      <c r="H7" t="s">
        <v>9</v>
      </c>
      <c r="I7" t="s">
        <v>30</v>
      </c>
    </row>
    <row r="8" spans="1:9" x14ac:dyDescent="0.3">
      <c r="A8" t="s">
        <v>31</v>
      </c>
      <c r="B8" s="1">
        <v>46271</v>
      </c>
      <c r="C8" t="s">
        <v>32</v>
      </c>
      <c r="D8" t="s">
        <v>13</v>
      </c>
      <c r="E8" t="s">
        <v>14</v>
      </c>
      <c r="F8">
        <v>2</v>
      </c>
      <c r="G8">
        <v>5000</v>
      </c>
      <c r="H8" t="s">
        <v>15</v>
      </c>
      <c r="I8" t="s">
        <v>20</v>
      </c>
    </row>
    <row r="9" spans="1:9" x14ac:dyDescent="0.3">
      <c r="A9" t="s">
        <v>33</v>
      </c>
      <c r="B9" s="1">
        <v>46272</v>
      </c>
      <c r="C9" t="s">
        <v>34</v>
      </c>
      <c r="D9" t="s">
        <v>19</v>
      </c>
      <c r="E9" t="s">
        <v>14</v>
      </c>
      <c r="F9">
        <v>1</v>
      </c>
      <c r="G9">
        <v>12000</v>
      </c>
      <c r="H9" t="s">
        <v>9</v>
      </c>
      <c r="I9" t="s">
        <v>10</v>
      </c>
    </row>
    <row r="10" spans="1:9" x14ac:dyDescent="0.3">
      <c r="A10" t="s">
        <v>35</v>
      </c>
      <c r="B10" s="1">
        <v>46273</v>
      </c>
      <c r="C10" t="s">
        <v>36</v>
      </c>
      <c r="D10" t="s">
        <v>26</v>
      </c>
      <c r="E10" t="s">
        <v>14</v>
      </c>
      <c r="G10">
        <v>18000</v>
      </c>
      <c r="H10" t="s">
        <v>15</v>
      </c>
      <c r="I10" t="s">
        <v>16</v>
      </c>
    </row>
    <row r="11" spans="1:9" x14ac:dyDescent="0.3">
      <c r="A11" t="s">
        <v>37</v>
      </c>
      <c r="B11" s="1">
        <v>46274</v>
      </c>
      <c r="C11" t="s">
        <v>38</v>
      </c>
      <c r="D11" t="s">
        <v>52</v>
      </c>
      <c r="E11" t="s">
        <v>8</v>
      </c>
      <c r="F11">
        <v>2</v>
      </c>
      <c r="G11">
        <v>15000</v>
      </c>
      <c r="H11" t="s">
        <v>9</v>
      </c>
      <c r="I11" t="s">
        <v>10</v>
      </c>
    </row>
    <row r="12" spans="1:9" x14ac:dyDescent="0.3">
      <c r="A12" t="s">
        <v>39</v>
      </c>
      <c r="B12" s="1">
        <v>46275</v>
      </c>
      <c r="C12" t="s">
        <v>40</v>
      </c>
      <c r="D12" t="s">
        <v>13</v>
      </c>
      <c r="E12" t="s">
        <v>14</v>
      </c>
      <c r="F12">
        <v>4</v>
      </c>
      <c r="G12">
        <v>5000</v>
      </c>
      <c r="H12" t="s">
        <v>15</v>
      </c>
      <c r="I12" t="s">
        <v>20</v>
      </c>
    </row>
    <row r="13" spans="1:9" x14ac:dyDescent="0.3">
      <c r="A13" t="s">
        <v>41</v>
      </c>
      <c r="B13" s="1">
        <v>46276</v>
      </c>
      <c r="C13" t="s">
        <v>42</v>
      </c>
      <c r="D13" t="s">
        <v>29</v>
      </c>
      <c r="E13" t="s">
        <v>8</v>
      </c>
      <c r="F13">
        <v>3</v>
      </c>
      <c r="G13">
        <v>3000</v>
      </c>
      <c r="H13" t="s">
        <v>9</v>
      </c>
      <c r="I13" t="s">
        <v>16</v>
      </c>
    </row>
    <row r="14" spans="1:9" x14ac:dyDescent="0.3">
      <c r="A14" t="s">
        <v>43</v>
      </c>
      <c r="B14" s="1">
        <v>46277</v>
      </c>
      <c r="C14" t="s">
        <v>44</v>
      </c>
      <c r="D14" t="s">
        <v>19</v>
      </c>
      <c r="E14" t="s">
        <v>14</v>
      </c>
      <c r="F14">
        <v>2</v>
      </c>
      <c r="G14">
        <v>12000</v>
      </c>
      <c r="H14" t="s">
        <v>9</v>
      </c>
      <c r="I14" t="s">
        <v>10</v>
      </c>
    </row>
    <row r="15" spans="1:9" x14ac:dyDescent="0.3">
      <c r="A15" t="s">
        <v>45</v>
      </c>
      <c r="B15" s="1">
        <v>46278</v>
      </c>
      <c r="C15" t="s">
        <v>46</v>
      </c>
      <c r="D15" t="s">
        <v>26</v>
      </c>
      <c r="E15" t="s">
        <v>14</v>
      </c>
      <c r="F15">
        <v>1</v>
      </c>
      <c r="G15">
        <v>18000</v>
      </c>
      <c r="H15" t="s">
        <v>15</v>
      </c>
      <c r="I15" t="s">
        <v>16</v>
      </c>
    </row>
    <row r="16" spans="1:9" x14ac:dyDescent="0.3">
      <c r="A16" t="s">
        <v>47</v>
      </c>
      <c r="B16" s="1">
        <v>46279</v>
      </c>
      <c r="C16" t="s">
        <v>48</v>
      </c>
      <c r="D16" t="s">
        <v>13</v>
      </c>
      <c r="E16" t="s">
        <v>14</v>
      </c>
      <c r="F16">
        <v>2</v>
      </c>
      <c r="G16">
        <v>5000</v>
      </c>
      <c r="H16" t="s">
        <v>9</v>
      </c>
      <c r="I16" t="s">
        <v>20</v>
      </c>
    </row>
    <row r="17" spans="1:9" x14ac:dyDescent="0.3">
      <c r="A17" t="s">
        <v>47</v>
      </c>
      <c r="B17" s="1">
        <v>46279</v>
      </c>
      <c r="C17" t="s">
        <v>48</v>
      </c>
      <c r="D17" t="s">
        <v>13</v>
      </c>
      <c r="E17" t="s">
        <v>14</v>
      </c>
      <c r="F17">
        <v>2</v>
      </c>
      <c r="G17">
        <v>5000</v>
      </c>
      <c r="H17" t="s">
        <v>9</v>
      </c>
      <c r="I17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7B50-244D-4AAA-B6A1-DA1E619CBAD7}">
  <dimension ref="A1:L25"/>
  <sheetViews>
    <sheetView zoomScale="80" zoomScaleNormal="80" workbookViewId="0">
      <pane xSplit="1" topLeftCell="I1" activePane="topRight" state="frozen"/>
      <selection pane="topRight" activeCell="L17" sqref="L17"/>
    </sheetView>
  </sheetViews>
  <sheetFormatPr defaultRowHeight="14.4" x14ac:dyDescent="0.3"/>
  <cols>
    <col min="1" max="1" width="12.44140625" style="6" customWidth="1"/>
    <col min="2" max="2" width="10.5546875" style="1" bestFit="1" customWidth="1"/>
    <col min="3" max="3" width="11.21875" customWidth="1"/>
    <col min="4" max="4" width="14.33203125" customWidth="1"/>
    <col min="5" max="5" width="14.109375" customWidth="1"/>
    <col min="6" max="6" width="14.6640625" customWidth="1"/>
    <col min="7" max="7" width="15.44140625" style="16" customWidth="1"/>
    <col min="8" max="8" width="11.5546875" customWidth="1"/>
    <col min="9" max="9" width="21" customWidth="1"/>
    <col min="10" max="10" width="13.109375" style="16" customWidth="1"/>
    <col min="11" max="11" width="16.77734375" customWidth="1"/>
    <col min="12" max="12" width="17.5546875" style="16" customWidth="1"/>
  </cols>
  <sheetData>
    <row r="1" spans="1:12" s="3" customFormat="1" x14ac:dyDescent="0.3">
      <c r="A1" s="5" t="s">
        <v>49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17" t="s">
        <v>50</v>
      </c>
      <c r="H1" s="3" t="s">
        <v>5</v>
      </c>
      <c r="I1" s="3" t="s">
        <v>51</v>
      </c>
      <c r="J1" s="17" t="s">
        <v>62</v>
      </c>
      <c r="K1" s="3" t="s">
        <v>75</v>
      </c>
      <c r="L1" s="17" t="s">
        <v>76</v>
      </c>
    </row>
    <row r="2" spans="1:12" x14ac:dyDescent="0.3">
      <c r="A2" s="6" t="s">
        <v>6</v>
      </c>
      <c r="B2" s="1">
        <v>46266</v>
      </c>
      <c r="C2" t="s">
        <v>7</v>
      </c>
      <c r="D2" t="s">
        <v>52</v>
      </c>
      <c r="E2" t="s">
        <v>8</v>
      </c>
      <c r="F2">
        <v>2</v>
      </c>
      <c r="G2" s="16">
        <v>15000</v>
      </c>
      <c r="H2" t="s">
        <v>9</v>
      </c>
      <c r="I2" t="s">
        <v>10</v>
      </c>
      <c r="J2" s="16">
        <f t="shared" ref="J2:J16" si="0">SUM(F2*G2)</f>
        <v>30000</v>
      </c>
      <c r="K2" t="str">
        <f>IF(SalesData[[#This Row],[Quantity]]="", "Missing quantity", "Complete")</f>
        <v>Complete</v>
      </c>
      <c r="L2" s="16">
        <f>VLOOKUP(SalesData[[#This Row],[Product]],'price list'!$A$2:$B$6,2,FALSE)</f>
        <v>15000</v>
      </c>
    </row>
    <row r="3" spans="1:12" x14ac:dyDescent="0.3">
      <c r="A3" s="6" t="s">
        <v>11</v>
      </c>
      <c r="B3" s="1">
        <v>46267</v>
      </c>
      <c r="C3" t="s">
        <v>12</v>
      </c>
      <c r="D3" t="s">
        <v>13</v>
      </c>
      <c r="E3" t="s">
        <v>14</v>
      </c>
      <c r="F3">
        <v>3</v>
      </c>
      <c r="G3" s="16">
        <v>5000</v>
      </c>
      <c r="H3" t="s">
        <v>15</v>
      </c>
      <c r="I3" t="s">
        <v>16</v>
      </c>
      <c r="J3" s="16">
        <f t="shared" si="0"/>
        <v>15000</v>
      </c>
      <c r="K3" t="str">
        <f>IF(SalesData[[#This Row],[Quantity]]="", "Missing quantity", "Complete")</f>
        <v>Complete</v>
      </c>
      <c r="L3" s="16">
        <f>VLOOKUP(SalesData[[#This Row],[Product]],'price list'!$A$2:$B$6,2,FALSE)</f>
        <v>5000</v>
      </c>
    </row>
    <row r="4" spans="1:12" x14ac:dyDescent="0.3">
      <c r="A4" s="6" t="s">
        <v>17</v>
      </c>
      <c r="B4" s="1">
        <v>46267</v>
      </c>
      <c r="C4" t="s">
        <v>18</v>
      </c>
      <c r="D4" t="s">
        <v>19</v>
      </c>
      <c r="E4" t="s">
        <v>14</v>
      </c>
      <c r="F4">
        <v>1</v>
      </c>
      <c r="G4" s="16">
        <v>12000</v>
      </c>
      <c r="H4" t="s">
        <v>9</v>
      </c>
      <c r="I4" t="s">
        <v>20</v>
      </c>
      <c r="J4" s="16">
        <f t="shared" si="0"/>
        <v>12000</v>
      </c>
      <c r="K4" t="str">
        <f>IF(SalesData[[#This Row],[Quantity]]="", "Missing quantity", "Complete")</f>
        <v>Complete</v>
      </c>
      <c r="L4" s="16">
        <f>VLOOKUP(SalesData[[#This Row],[Product]],'price list'!$A$2:$B$6,2,FALSE)</f>
        <v>12000</v>
      </c>
    </row>
    <row r="5" spans="1:12" x14ac:dyDescent="0.3">
      <c r="A5" s="6" t="s">
        <v>21</v>
      </c>
      <c r="B5" s="1">
        <v>46268</v>
      </c>
      <c r="C5" t="s">
        <v>22</v>
      </c>
      <c r="D5" t="s">
        <v>52</v>
      </c>
      <c r="E5" t="s">
        <v>8</v>
      </c>
      <c r="F5">
        <v>1</v>
      </c>
      <c r="G5" s="16">
        <v>15000</v>
      </c>
      <c r="H5" t="s">
        <v>15</v>
      </c>
      <c r="I5" t="s">
        <v>16</v>
      </c>
      <c r="J5" s="16">
        <f t="shared" si="0"/>
        <v>15000</v>
      </c>
      <c r="K5" t="str">
        <f>IF(SalesData[[#This Row],[Quantity]]="", "Missing quantity", "Complete")</f>
        <v>Complete</v>
      </c>
      <c r="L5" s="16">
        <f>VLOOKUP(SalesData[[#This Row],[Product]],'price list'!$A$2:$B$6,2,FALSE)</f>
        <v>15000</v>
      </c>
    </row>
    <row r="6" spans="1:12" x14ac:dyDescent="0.3">
      <c r="A6" s="6" t="s">
        <v>24</v>
      </c>
      <c r="B6" s="1">
        <v>46269</v>
      </c>
      <c r="C6" t="s">
        <v>25</v>
      </c>
      <c r="D6" t="s">
        <v>26</v>
      </c>
      <c r="E6" t="s">
        <v>14</v>
      </c>
      <c r="F6">
        <v>2</v>
      </c>
      <c r="G6" s="16">
        <v>18000</v>
      </c>
      <c r="H6" t="s">
        <v>9</v>
      </c>
      <c r="I6" t="s">
        <v>10</v>
      </c>
      <c r="J6" s="16">
        <f t="shared" si="0"/>
        <v>36000</v>
      </c>
      <c r="K6" t="str">
        <f>IF(SalesData[[#This Row],[Quantity]]="", "Missing quantity", "Complete")</f>
        <v>Complete</v>
      </c>
      <c r="L6" s="16">
        <f>VLOOKUP(SalesData[[#This Row],[Product]],'price list'!$A$2:$B$6,2,FALSE)</f>
        <v>18000</v>
      </c>
    </row>
    <row r="7" spans="1:12" x14ac:dyDescent="0.3">
      <c r="A7" s="6" t="s">
        <v>27</v>
      </c>
      <c r="B7" s="1">
        <v>46270</v>
      </c>
      <c r="C7" t="s">
        <v>28</v>
      </c>
      <c r="D7" t="s">
        <v>29</v>
      </c>
      <c r="E7" t="s">
        <v>8</v>
      </c>
      <c r="F7">
        <v>5</v>
      </c>
      <c r="G7" s="16">
        <v>3000</v>
      </c>
      <c r="H7" t="s">
        <v>9</v>
      </c>
      <c r="I7" t="s">
        <v>16</v>
      </c>
      <c r="J7" s="16">
        <f t="shared" si="0"/>
        <v>15000</v>
      </c>
      <c r="K7" t="str">
        <f>IF(SalesData[[#This Row],[Quantity]]="", "Missing quantity", "Complete")</f>
        <v>Complete</v>
      </c>
      <c r="L7" s="16">
        <f>VLOOKUP(SalesData[[#This Row],[Product]],'price list'!$A$2:$B$6,2,FALSE)</f>
        <v>3000</v>
      </c>
    </row>
    <row r="8" spans="1:12" x14ac:dyDescent="0.3">
      <c r="A8" s="6" t="s">
        <v>31</v>
      </c>
      <c r="B8" s="1">
        <v>46271</v>
      </c>
      <c r="C8" t="s">
        <v>32</v>
      </c>
      <c r="D8" t="s">
        <v>13</v>
      </c>
      <c r="E8" t="s">
        <v>14</v>
      </c>
      <c r="F8">
        <v>2</v>
      </c>
      <c r="G8" s="16">
        <v>5000</v>
      </c>
      <c r="H8" t="s">
        <v>15</v>
      </c>
      <c r="I8" t="s">
        <v>20</v>
      </c>
      <c r="J8" s="16">
        <f t="shared" si="0"/>
        <v>10000</v>
      </c>
      <c r="K8" t="str">
        <f>IF(SalesData[[#This Row],[Quantity]]="", "Missing quantity", "Complete")</f>
        <v>Complete</v>
      </c>
      <c r="L8" s="16">
        <f>VLOOKUP(SalesData[[#This Row],[Product]],'price list'!$A$2:$B$6,2,FALSE)</f>
        <v>5000</v>
      </c>
    </row>
    <row r="9" spans="1:12" x14ac:dyDescent="0.3">
      <c r="A9" s="6" t="s">
        <v>33</v>
      </c>
      <c r="B9" s="1">
        <v>46272</v>
      </c>
      <c r="C9" t="s">
        <v>34</v>
      </c>
      <c r="D9" t="s">
        <v>19</v>
      </c>
      <c r="E9" t="s">
        <v>14</v>
      </c>
      <c r="F9">
        <v>1</v>
      </c>
      <c r="G9" s="16">
        <v>12000</v>
      </c>
      <c r="H9" t="s">
        <v>9</v>
      </c>
      <c r="I9" t="s">
        <v>10</v>
      </c>
      <c r="J9" s="16">
        <f t="shared" si="0"/>
        <v>12000</v>
      </c>
      <c r="K9" t="str">
        <f>IF(SalesData[[#This Row],[Quantity]]="", "Missing quantity", "Complete")</f>
        <v>Complete</v>
      </c>
      <c r="L9" s="16">
        <f>VLOOKUP(SalesData[[#This Row],[Product]],'price list'!$A$2:$B$6,2,FALSE)</f>
        <v>12000</v>
      </c>
    </row>
    <row r="10" spans="1:12" x14ac:dyDescent="0.3">
      <c r="A10" s="6" t="s">
        <v>35</v>
      </c>
      <c r="B10" s="1">
        <v>46273</v>
      </c>
      <c r="C10" t="s">
        <v>36</v>
      </c>
      <c r="D10" t="s">
        <v>26</v>
      </c>
      <c r="E10" t="s">
        <v>14</v>
      </c>
      <c r="G10" s="16">
        <v>18000</v>
      </c>
      <c r="H10" t="s">
        <v>15</v>
      </c>
      <c r="I10" t="s">
        <v>16</v>
      </c>
      <c r="J10"/>
      <c r="K10" t="str">
        <f>IF(SalesData[[#This Row],[Quantity]]="", "Missing quantity", "Complete")</f>
        <v>Missing quantity</v>
      </c>
      <c r="L10" s="16">
        <f>VLOOKUP(SalesData[[#This Row],[Product]],'price list'!$A$2:$B$6,2,FALSE)</f>
        <v>18000</v>
      </c>
    </row>
    <row r="11" spans="1:12" x14ac:dyDescent="0.3">
      <c r="A11" s="6" t="s">
        <v>37</v>
      </c>
      <c r="B11" s="1">
        <v>46274</v>
      </c>
      <c r="C11" t="s">
        <v>38</v>
      </c>
      <c r="D11" t="s">
        <v>52</v>
      </c>
      <c r="E11" t="s">
        <v>8</v>
      </c>
      <c r="F11">
        <v>2</v>
      </c>
      <c r="G11" s="16">
        <v>15000</v>
      </c>
      <c r="H11" t="s">
        <v>9</v>
      </c>
      <c r="I11" t="s">
        <v>10</v>
      </c>
      <c r="J11" s="16">
        <f t="shared" si="0"/>
        <v>30000</v>
      </c>
      <c r="K11" t="str">
        <f>IF(SalesData[[#This Row],[Quantity]]="", "Missing quantity", "Complete")</f>
        <v>Complete</v>
      </c>
      <c r="L11" s="16">
        <f>VLOOKUP(SalesData[[#This Row],[Product]],'price list'!$A$2:$B$6,2,FALSE)</f>
        <v>15000</v>
      </c>
    </row>
    <row r="12" spans="1:12" x14ac:dyDescent="0.3">
      <c r="A12" s="6" t="s">
        <v>39</v>
      </c>
      <c r="B12" s="1">
        <v>46275</v>
      </c>
      <c r="C12" t="s">
        <v>40</v>
      </c>
      <c r="D12" t="s">
        <v>13</v>
      </c>
      <c r="E12" t="s">
        <v>14</v>
      </c>
      <c r="F12">
        <v>4</v>
      </c>
      <c r="G12" s="16">
        <v>5000</v>
      </c>
      <c r="H12" t="s">
        <v>15</v>
      </c>
      <c r="I12" t="s">
        <v>20</v>
      </c>
      <c r="J12" s="16">
        <f t="shared" si="0"/>
        <v>20000</v>
      </c>
      <c r="K12" t="str">
        <f>IF(SalesData[[#This Row],[Quantity]]="", "Missing quantity", "Complete")</f>
        <v>Complete</v>
      </c>
      <c r="L12" s="16">
        <f>VLOOKUP(SalesData[[#This Row],[Product]],'price list'!$A$2:$B$6,2,FALSE)</f>
        <v>5000</v>
      </c>
    </row>
    <row r="13" spans="1:12" x14ac:dyDescent="0.3">
      <c r="A13" s="6" t="s">
        <v>41</v>
      </c>
      <c r="B13" s="1">
        <v>46276</v>
      </c>
      <c r="C13" t="s">
        <v>42</v>
      </c>
      <c r="D13" t="s">
        <v>29</v>
      </c>
      <c r="E13" t="s">
        <v>8</v>
      </c>
      <c r="F13">
        <v>3</v>
      </c>
      <c r="G13" s="16">
        <v>3000</v>
      </c>
      <c r="H13" t="s">
        <v>9</v>
      </c>
      <c r="I13" t="s">
        <v>16</v>
      </c>
      <c r="J13" s="16">
        <f t="shared" si="0"/>
        <v>9000</v>
      </c>
      <c r="K13" t="str">
        <f>IF(SalesData[[#This Row],[Quantity]]="", "Missing quantity", "Complete")</f>
        <v>Complete</v>
      </c>
      <c r="L13" s="16">
        <f>VLOOKUP(SalesData[[#This Row],[Product]],'price list'!$A$2:$B$6,2,FALSE)</f>
        <v>3000</v>
      </c>
    </row>
    <row r="14" spans="1:12" x14ac:dyDescent="0.3">
      <c r="A14" s="6" t="s">
        <v>43</v>
      </c>
      <c r="B14" s="1">
        <v>46277</v>
      </c>
      <c r="C14" t="s">
        <v>44</v>
      </c>
      <c r="D14" t="s">
        <v>19</v>
      </c>
      <c r="E14" t="s">
        <v>14</v>
      </c>
      <c r="F14">
        <v>2</v>
      </c>
      <c r="G14" s="16">
        <v>12000</v>
      </c>
      <c r="H14" t="s">
        <v>9</v>
      </c>
      <c r="I14" t="s">
        <v>10</v>
      </c>
      <c r="J14" s="16">
        <f t="shared" si="0"/>
        <v>24000</v>
      </c>
      <c r="K14" t="str">
        <f>IF(SalesData[[#This Row],[Quantity]]="", "Missing quantity", "Complete")</f>
        <v>Complete</v>
      </c>
      <c r="L14" s="16">
        <f>VLOOKUP(SalesData[[#This Row],[Product]],'price list'!$A$2:$B$6,2,FALSE)</f>
        <v>12000</v>
      </c>
    </row>
    <row r="15" spans="1:12" x14ac:dyDescent="0.3">
      <c r="A15" s="6" t="s">
        <v>45</v>
      </c>
      <c r="B15" s="1">
        <v>46278</v>
      </c>
      <c r="C15" t="s">
        <v>46</v>
      </c>
      <c r="D15" t="s">
        <v>26</v>
      </c>
      <c r="E15" t="s">
        <v>14</v>
      </c>
      <c r="F15">
        <v>1</v>
      </c>
      <c r="G15" s="16">
        <v>18000</v>
      </c>
      <c r="H15" t="s">
        <v>15</v>
      </c>
      <c r="I15" t="s">
        <v>16</v>
      </c>
      <c r="J15" s="16">
        <f t="shared" si="0"/>
        <v>18000</v>
      </c>
      <c r="K15" t="str">
        <f>IF(SalesData[[#This Row],[Quantity]]="", "Missing quantity", "Complete")</f>
        <v>Complete</v>
      </c>
      <c r="L15" s="16">
        <f>VLOOKUP(SalesData[[#This Row],[Product]],'price list'!$A$2:$B$6,2,FALSE)</f>
        <v>18000</v>
      </c>
    </row>
    <row r="16" spans="1:12" x14ac:dyDescent="0.3">
      <c r="A16" s="6" t="s">
        <v>47</v>
      </c>
      <c r="B16" s="1">
        <v>46279</v>
      </c>
      <c r="C16" t="s">
        <v>48</v>
      </c>
      <c r="D16" t="s">
        <v>13</v>
      </c>
      <c r="E16" t="s">
        <v>14</v>
      </c>
      <c r="F16">
        <v>2</v>
      </c>
      <c r="G16" s="16">
        <v>5000</v>
      </c>
      <c r="H16" t="s">
        <v>9</v>
      </c>
      <c r="I16" t="s">
        <v>20</v>
      </c>
      <c r="J16" s="16">
        <f t="shared" si="0"/>
        <v>10000</v>
      </c>
      <c r="K16" t="str">
        <f>IF(SalesData[[#This Row],[Quantity]]="", "Missing quantity", "Complete")</f>
        <v>Complete</v>
      </c>
      <c r="L16" s="16">
        <f>VLOOKUP(SalesData[[#This Row],[Product]],'price list'!$A$2:$B$6,2,FALSE)</f>
        <v>5000</v>
      </c>
    </row>
    <row r="18" spans="9:10" x14ac:dyDescent="0.3">
      <c r="I18" s="15"/>
    </row>
    <row r="19" spans="9:10" x14ac:dyDescent="0.3">
      <c r="I19" s="2"/>
    </row>
    <row r="20" spans="9:10" x14ac:dyDescent="0.3">
      <c r="I20" s="2"/>
    </row>
    <row r="21" spans="9:10" x14ac:dyDescent="0.3">
      <c r="I21" s="2"/>
    </row>
    <row r="22" spans="9:10" x14ac:dyDescent="0.3">
      <c r="I22" s="2"/>
      <c r="J22"/>
    </row>
    <row r="23" spans="9:10" x14ac:dyDescent="0.3">
      <c r="I23" s="2"/>
      <c r="J23"/>
    </row>
    <row r="24" spans="9:10" x14ac:dyDescent="0.3">
      <c r="I24" s="2"/>
      <c r="J24"/>
    </row>
    <row r="25" spans="9:10" x14ac:dyDescent="0.3">
      <c r="I25" s="2"/>
      <c r="J25"/>
    </row>
  </sheetData>
  <conditionalFormatting sqref="A1">
    <cfRule type="duplicateValues" dxfId="18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D32E-B0C4-4752-97AD-076DA698E0E0}">
  <dimension ref="A1:C5"/>
  <sheetViews>
    <sheetView workbookViewId="0">
      <selection activeCell="C12" sqref="C12"/>
    </sheetView>
  </sheetViews>
  <sheetFormatPr defaultRowHeight="14.4" x14ac:dyDescent="0.3"/>
  <cols>
    <col min="1" max="1" width="23.88671875" customWidth="1"/>
    <col min="2" max="2" width="16.109375" customWidth="1"/>
    <col min="3" max="3" width="23.77734375" customWidth="1"/>
  </cols>
  <sheetData>
    <row r="1" spans="1:3" s="2" customFormat="1" x14ac:dyDescent="0.3">
      <c r="A1" s="2" t="s">
        <v>53</v>
      </c>
      <c r="B1" s="2" t="s">
        <v>54</v>
      </c>
      <c r="C1" s="2" t="s">
        <v>55</v>
      </c>
    </row>
    <row r="2" spans="1:3" x14ac:dyDescent="0.3">
      <c r="A2" t="s">
        <v>56</v>
      </c>
      <c r="B2" t="s">
        <v>49</v>
      </c>
      <c r="C2" t="s">
        <v>61</v>
      </c>
    </row>
    <row r="3" spans="1:3" x14ac:dyDescent="0.3">
      <c r="A3" t="s">
        <v>59</v>
      </c>
      <c r="B3" t="s">
        <v>4</v>
      </c>
      <c r="C3" t="s">
        <v>57</v>
      </c>
    </row>
    <row r="4" spans="1:3" x14ac:dyDescent="0.3">
      <c r="A4" t="s">
        <v>60</v>
      </c>
      <c r="B4" t="s">
        <v>5</v>
      </c>
      <c r="C4" t="s">
        <v>58</v>
      </c>
    </row>
    <row r="5" spans="1:3" x14ac:dyDescent="0.3">
      <c r="A5" t="s">
        <v>60</v>
      </c>
      <c r="B5" t="s">
        <v>51</v>
      </c>
      <c r="C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4C9C-FFF7-439C-B8D5-3E6F480BE200}">
  <dimension ref="A1:N25"/>
  <sheetViews>
    <sheetView zoomScale="85" zoomScaleNormal="85" workbookViewId="0">
      <selection activeCell="D16" sqref="D16"/>
    </sheetView>
  </sheetViews>
  <sheetFormatPr defaultRowHeight="14.4" x14ac:dyDescent="0.3"/>
  <cols>
    <col min="1" max="1" width="12.44140625" style="6" customWidth="1"/>
    <col min="2" max="2" width="10.5546875" style="1" bestFit="1" customWidth="1"/>
    <col min="3" max="3" width="11.21875" customWidth="1"/>
    <col min="4" max="4" width="14.33203125" customWidth="1"/>
    <col min="5" max="5" width="14.109375" customWidth="1"/>
    <col min="6" max="6" width="14.6640625" customWidth="1"/>
    <col min="7" max="7" width="15.44140625" style="16" customWidth="1"/>
    <col min="8" max="8" width="11.5546875" customWidth="1"/>
    <col min="9" max="9" width="21" customWidth="1"/>
    <col min="10" max="10" width="13.109375" style="16" customWidth="1"/>
    <col min="11" max="11" width="16.77734375" customWidth="1"/>
    <col min="12" max="12" width="17.5546875" style="16" customWidth="1"/>
    <col min="13" max="13" width="19.77734375" customWidth="1"/>
    <col min="14" max="14" width="18.6640625" customWidth="1"/>
  </cols>
  <sheetData>
    <row r="1" spans="1:14" s="3" customFormat="1" x14ac:dyDescent="0.3">
      <c r="A1" s="5" t="s">
        <v>49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17" t="s">
        <v>50</v>
      </c>
      <c r="H1" s="3" t="s">
        <v>5</v>
      </c>
      <c r="I1" s="3" t="s">
        <v>51</v>
      </c>
      <c r="J1" s="17" t="s">
        <v>62</v>
      </c>
      <c r="K1" s="3" t="s">
        <v>75</v>
      </c>
      <c r="L1" s="17" t="s">
        <v>76</v>
      </c>
      <c r="M1" s="3" t="s">
        <v>144</v>
      </c>
      <c r="N1" s="3" t="s">
        <v>145</v>
      </c>
    </row>
    <row r="2" spans="1:14" x14ac:dyDescent="0.3">
      <c r="A2" s="6" t="s">
        <v>6</v>
      </c>
      <c r="B2" s="1">
        <v>46266</v>
      </c>
      <c r="C2" t="s">
        <v>7</v>
      </c>
      <c r="D2" t="s">
        <v>52</v>
      </c>
      <c r="E2" t="s">
        <v>8</v>
      </c>
      <c r="F2">
        <v>2</v>
      </c>
      <c r="G2" s="16">
        <v>15000</v>
      </c>
      <c r="H2" t="s">
        <v>9</v>
      </c>
      <c r="I2" t="s">
        <v>10</v>
      </c>
      <c r="J2" s="16">
        <f t="shared" ref="J2:J16" si="0">SUM(F2*G2)</f>
        <v>30000</v>
      </c>
      <c r="K2" t="str">
        <f>IF(SalesData3[[#This Row],[Quantity]]="", "Missing quantity", "Complete")</f>
        <v>Complete</v>
      </c>
      <c r="L2" s="16">
        <f>VLOOKUP(SalesData3[[#This Row],[Product]],'price list'!$A$2:$B$6,2,FALSE)</f>
        <v>15000</v>
      </c>
      <c r="M2">
        <f>COUNTIF(SalesData[Order ID],SalesData[[#This Row],[Order ID]])</f>
        <v>1</v>
      </c>
      <c r="N2" t="str">
        <f>IF(OR(SalesData3[[#This Row],[Payment Method]]="Cash",SalesData3[[#This Row],[Payment Method]]="Card",SalesData3[[#This Row],[Payment Method]]="Transfer"),"Valid", "Invalid")</f>
        <v>Valid</v>
      </c>
    </row>
    <row r="3" spans="1:14" x14ac:dyDescent="0.3">
      <c r="A3" s="6" t="s">
        <v>11</v>
      </c>
      <c r="B3" s="1">
        <v>46267</v>
      </c>
      <c r="C3" t="s">
        <v>12</v>
      </c>
      <c r="D3" t="s">
        <v>13</v>
      </c>
      <c r="E3" t="s">
        <v>14</v>
      </c>
      <c r="F3">
        <v>3</v>
      </c>
      <c r="G3" s="16">
        <v>5000</v>
      </c>
      <c r="H3" t="s">
        <v>15</v>
      </c>
      <c r="I3" t="s">
        <v>16</v>
      </c>
      <c r="J3" s="16">
        <f t="shared" si="0"/>
        <v>15000</v>
      </c>
      <c r="K3" t="str">
        <f>IF(SalesData3[[#This Row],[Quantity]]="", "Missing quantity", "Complete")</f>
        <v>Complete</v>
      </c>
      <c r="L3" s="16">
        <f>VLOOKUP(SalesData3[[#This Row],[Product]],'price list'!$A$2:$B$6,2,FALSE)</f>
        <v>5000</v>
      </c>
      <c r="M3">
        <f>COUNTIF(SalesData[Order ID],SalesData[[#This Row],[Order ID]])</f>
        <v>1</v>
      </c>
      <c r="N3" t="str">
        <f>IF(OR(SalesData3[[#This Row],[Payment Method]]="Cash",SalesData3[[#This Row],[Payment Method]]="Card",SalesData3[[#This Row],[Payment Method]]="Transfer"),"Valid", "Invalid")</f>
        <v>Valid</v>
      </c>
    </row>
    <row r="4" spans="1:14" x14ac:dyDescent="0.3">
      <c r="A4" s="6" t="s">
        <v>17</v>
      </c>
      <c r="B4" s="1">
        <v>46267</v>
      </c>
      <c r="C4" t="s">
        <v>18</v>
      </c>
      <c r="D4" t="s">
        <v>19</v>
      </c>
      <c r="E4" t="s">
        <v>14</v>
      </c>
      <c r="F4">
        <v>1</v>
      </c>
      <c r="G4" s="16">
        <v>12000</v>
      </c>
      <c r="H4" t="s">
        <v>9</v>
      </c>
      <c r="I4" t="s">
        <v>20</v>
      </c>
      <c r="J4" s="16">
        <f t="shared" si="0"/>
        <v>12000</v>
      </c>
      <c r="K4" t="str">
        <f>IF(SalesData3[[#This Row],[Quantity]]="", "Missing quantity", "Complete")</f>
        <v>Complete</v>
      </c>
      <c r="L4" s="16">
        <f>VLOOKUP(SalesData3[[#This Row],[Product]],'price list'!$A$2:$B$6,2,FALSE)</f>
        <v>12000</v>
      </c>
      <c r="M4">
        <f>COUNTIF(SalesData[Order ID],SalesData[[#This Row],[Order ID]])</f>
        <v>1</v>
      </c>
      <c r="N4" t="str">
        <f>IF(OR(SalesData3[[#This Row],[Payment Method]]="Cash",SalesData3[[#This Row],[Payment Method]]="Card",SalesData3[[#This Row],[Payment Method]]="Transfer"),"Valid", "Invalid")</f>
        <v>Valid</v>
      </c>
    </row>
    <row r="5" spans="1:14" x14ac:dyDescent="0.3">
      <c r="A5" s="6" t="s">
        <v>21</v>
      </c>
      <c r="B5" s="1">
        <v>46268</v>
      </c>
      <c r="C5" t="s">
        <v>22</v>
      </c>
      <c r="D5" t="s">
        <v>52</v>
      </c>
      <c r="E5" t="s">
        <v>8</v>
      </c>
      <c r="F5">
        <v>1</v>
      </c>
      <c r="G5" s="16">
        <v>15000</v>
      </c>
      <c r="H5" t="s">
        <v>15</v>
      </c>
      <c r="I5" t="s">
        <v>16</v>
      </c>
      <c r="J5" s="16">
        <f t="shared" si="0"/>
        <v>15000</v>
      </c>
      <c r="K5" t="str">
        <f>IF(SalesData3[[#This Row],[Quantity]]="", "Missing quantity", "Complete")</f>
        <v>Complete</v>
      </c>
      <c r="L5" s="16">
        <f>VLOOKUP(SalesData3[[#This Row],[Product]],'price list'!$A$2:$B$6,2,FALSE)</f>
        <v>15000</v>
      </c>
      <c r="M5">
        <f>COUNTIF(SalesData[Order ID],SalesData[[#This Row],[Order ID]])</f>
        <v>1</v>
      </c>
      <c r="N5" t="str">
        <f>IF(OR(SalesData3[[#This Row],[Payment Method]]="Cash",SalesData3[[#This Row],[Payment Method]]="Card",SalesData3[[#This Row],[Payment Method]]="Transfer"),"Valid", "Invalid")</f>
        <v>Valid</v>
      </c>
    </row>
    <row r="6" spans="1:14" x14ac:dyDescent="0.3">
      <c r="A6" s="6" t="s">
        <v>24</v>
      </c>
      <c r="B6" s="1">
        <v>46269</v>
      </c>
      <c r="C6" t="s">
        <v>25</v>
      </c>
      <c r="D6" t="s">
        <v>26</v>
      </c>
      <c r="E6" t="s">
        <v>14</v>
      </c>
      <c r="F6">
        <v>2</v>
      </c>
      <c r="G6" s="16">
        <v>18000</v>
      </c>
      <c r="H6" t="s">
        <v>9</v>
      </c>
      <c r="I6" t="s">
        <v>10</v>
      </c>
      <c r="J6" s="16">
        <f t="shared" si="0"/>
        <v>36000</v>
      </c>
      <c r="K6" t="str">
        <f>IF(SalesData3[[#This Row],[Quantity]]="", "Missing quantity", "Complete")</f>
        <v>Complete</v>
      </c>
      <c r="L6" s="16">
        <f>VLOOKUP(SalesData3[[#This Row],[Product]],'price list'!$A$2:$B$6,2,FALSE)</f>
        <v>18000</v>
      </c>
      <c r="M6">
        <f>COUNTIF(SalesData[Order ID],SalesData[[#This Row],[Order ID]])</f>
        <v>1</v>
      </c>
      <c r="N6" t="str">
        <f>IF(OR(SalesData3[[#This Row],[Payment Method]]="Cash",SalesData3[[#This Row],[Payment Method]]="Card",SalesData3[[#This Row],[Payment Method]]="Transfer"),"Valid", "Invalid")</f>
        <v>Valid</v>
      </c>
    </row>
    <row r="7" spans="1:14" x14ac:dyDescent="0.3">
      <c r="A7" s="6" t="s">
        <v>27</v>
      </c>
      <c r="B7" s="1">
        <v>46270</v>
      </c>
      <c r="C7" t="s">
        <v>28</v>
      </c>
      <c r="D7" t="s">
        <v>29</v>
      </c>
      <c r="E7" t="s">
        <v>8</v>
      </c>
      <c r="F7">
        <v>5</v>
      </c>
      <c r="G7" s="16">
        <v>3000</v>
      </c>
      <c r="H7" t="s">
        <v>9</v>
      </c>
      <c r="I7" t="s">
        <v>16</v>
      </c>
      <c r="J7" s="16">
        <f t="shared" si="0"/>
        <v>15000</v>
      </c>
      <c r="K7" t="str">
        <f>IF(SalesData3[[#This Row],[Quantity]]="", "Missing quantity", "Complete")</f>
        <v>Complete</v>
      </c>
      <c r="L7" s="16">
        <f>VLOOKUP(SalesData3[[#This Row],[Product]],'price list'!$A$2:$B$6,2,FALSE)</f>
        <v>3000</v>
      </c>
      <c r="M7">
        <f>COUNTIF(SalesData[Order ID],SalesData[[#This Row],[Order ID]])</f>
        <v>1</v>
      </c>
      <c r="N7" t="str">
        <f>IF(OR(SalesData3[[#This Row],[Payment Method]]="Cash",SalesData3[[#This Row],[Payment Method]]="Card",SalesData3[[#This Row],[Payment Method]]="Transfer"),"Valid", "Invalid")</f>
        <v>Valid</v>
      </c>
    </row>
    <row r="8" spans="1:14" x14ac:dyDescent="0.3">
      <c r="A8" s="6" t="s">
        <v>31</v>
      </c>
      <c r="B8" s="1">
        <v>46271</v>
      </c>
      <c r="C8" t="s">
        <v>32</v>
      </c>
      <c r="D8" t="s">
        <v>13</v>
      </c>
      <c r="E8" t="s">
        <v>14</v>
      </c>
      <c r="F8">
        <v>2</v>
      </c>
      <c r="G8" s="16">
        <v>5000</v>
      </c>
      <c r="H8" t="s">
        <v>15</v>
      </c>
      <c r="I8" t="s">
        <v>20</v>
      </c>
      <c r="J8" s="16">
        <f t="shared" si="0"/>
        <v>10000</v>
      </c>
      <c r="K8" t="str">
        <f>IF(SalesData3[[#This Row],[Quantity]]="", "Missing quantity", "Complete")</f>
        <v>Complete</v>
      </c>
      <c r="L8" s="16">
        <f>VLOOKUP(SalesData3[[#This Row],[Product]],'price list'!$A$2:$B$6,2,FALSE)</f>
        <v>5000</v>
      </c>
      <c r="M8">
        <f>COUNTIF(SalesData[Order ID],SalesData[[#This Row],[Order ID]])</f>
        <v>1</v>
      </c>
      <c r="N8" t="str">
        <f>IF(OR(SalesData3[[#This Row],[Payment Method]]="Cash",SalesData3[[#This Row],[Payment Method]]="Card",SalesData3[[#This Row],[Payment Method]]="Transfer"),"Valid", "Invalid")</f>
        <v>Valid</v>
      </c>
    </row>
    <row r="9" spans="1:14" x14ac:dyDescent="0.3">
      <c r="A9" s="6" t="s">
        <v>33</v>
      </c>
      <c r="B9" s="1">
        <v>46272</v>
      </c>
      <c r="C9" t="s">
        <v>34</v>
      </c>
      <c r="D9" t="s">
        <v>19</v>
      </c>
      <c r="E9" t="s">
        <v>14</v>
      </c>
      <c r="F9">
        <v>1</v>
      </c>
      <c r="G9" s="16">
        <v>12000</v>
      </c>
      <c r="H9" t="s">
        <v>9</v>
      </c>
      <c r="I9" t="s">
        <v>10</v>
      </c>
      <c r="J9" s="16">
        <f t="shared" si="0"/>
        <v>12000</v>
      </c>
      <c r="K9" t="str">
        <f>IF(SalesData3[[#This Row],[Quantity]]="", "Missing quantity", "Complete")</f>
        <v>Complete</v>
      </c>
      <c r="L9" s="16">
        <f>VLOOKUP(SalesData3[[#This Row],[Product]],'price list'!$A$2:$B$6,2,FALSE)</f>
        <v>12000</v>
      </c>
      <c r="M9">
        <f>COUNTIF(SalesData[Order ID],SalesData[[#This Row],[Order ID]])</f>
        <v>1</v>
      </c>
      <c r="N9" t="str">
        <f>IF(OR(SalesData3[[#This Row],[Payment Method]]="Cash",SalesData3[[#This Row],[Payment Method]]="Card",SalesData3[[#This Row],[Payment Method]]="Transfer"),"Valid", "Invalid")</f>
        <v>Valid</v>
      </c>
    </row>
    <row r="10" spans="1:14" x14ac:dyDescent="0.3">
      <c r="A10" s="6" t="s">
        <v>35</v>
      </c>
      <c r="B10" s="1">
        <v>46273</v>
      </c>
      <c r="C10" t="s">
        <v>36</v>
      </c>
      <c r="D10" t="s">
        <v>26</v>
      </c>
      <c r="E10" t="s">
        <v>14</v>
      </c>
      <c r="G10" s="16">
        <v>18000</v>
      </c>
      <c r="H10" t="s">
        <v>15</v>
      </c>
      <c r="I10" t="s">
        <v>16</v>
      </c>
      <c r="J10"/>
      <c r="K10" t="str">
        <f>IF(SalesData3[[#This Row],[Quantity]]="", "Missing quantity", "Complete")</f>
        <v>Missing quantity</v>
      </c>
      <c r="L10" s="16">
        <f>VLOOKUP(SalesData3[[#This Row],[Product]],'price list'!$A$2:$B$6,2,FALSE)</f>
        <v>18000</v>
      </c>
      <c r="M10">
        <f>COUNTIF(SalesData[Order ID],SalesData[[#This Row],[Order ID]])</f>
        <v>1</v>
      </c>
      <c r="N10" t="str">
        <f>IF(OR(SalesData3[[#This Row],[Payment Method]]="Cash",SalesData3[[#This Row],[Payment Method]]="Card",SalesData3[[#This Row],[Payment Method]]="Transfer"),"Valid", "Invalid")</f>
        <v>Valid</v>
      </c>
    </row>
    <row r="11" spans="1:14" x14ac:dyDescent="0.3">
      <c r="A11" s="6" t="s">
        <v>37</v>
      </c>
      <c r="B11" s="1">
        <v>46274</v>
      </c>
      <c r="C11" t="s">
        <v>38</v>
      </c>
      <c r="D11" t="s">
        <v>52</v>
      </c>
      <c r="E11" t="s">
        <v>8</v>
      </c>
      <c r="F11">
        <v>2</v>
      </c>
      <c r="G11" s="16">
        <v>15000</v>
      </c>
      <c r="H11" t="s">
        <v>9</v>
      </c>
      <c r="I11" t="s">
        <v>10</v>
      </c>
      <c r="J11" s="16">
        <f t="shared" si="0"/>
        <v>30000</v>
      </c>
      <c r="K11" t="str">
        <f>IF(SalesData3[[#This Row],[Quantity]]="", "Missing quantity", "Complete")</f>
        <v>Complete</v>
      </c>
      <c r="L11" s="16">
        <f>VLOOKUP(SalesData3[[#This Row],[Product]],'price list'!$A$2:$B$6,2,FALSE)</f>
        <v>15000</v>
      </c>
      <c r="M11">
        <f>COUNTIF(SalesData[Order ID],SalesData[[#This Row],[Order ID]])</f>
        <v>1</v>
      </c>
      <c r="N11" t="str">
        <f>IF(OR(SalesData3[[#This Row],[Payment Method]]="Cash",SalesData3[[#This Row],[Payment Method]]="Card",SalesData3[[#This Row],[Payment Method]]="Transfer"),"Valid", "Invalid")</f>
        <v>Valid</v>
      </c>
    </row>
    <row r="12" spans="1:14" x14ac:dyDescent="0.3">
      <c r="A12" s="6" t="s">
        <v>39</v>
      </c>
      <c r="B12" s="1">
        <v>46275</v>
      </c>
      <c r="C12" t="s">
        <v>40</v>
      </c>
      <c r="D12" t="s">
        <v>13</v>
      </c>
      <c r="E12" t="s">
        <v>14</v>
      </c>
      <c r="F12">
        <v>4</v>
      </c>
      <c r="G12" s="16">
        <v>5000</v>
      </c>
      <c r="H12" t="s">
        <v>15</v>
      </c>
      <c r="I12" t="s">
        <v>20</v>
      </c>
      <c r="J12" s="16">
        <f t="shared" si="0"/>
        <v>20000</v>
      </c>
      <c r="K12" t="str">
        <f>IF(SalesData3[[#This Row],[Quantity]]="", "Missing quantity", "Complete")</f>
        <v>Complete</v>
      </c>
      <c r="L12" s="16">
        <f>VLOOKUP(SalesData3[[#This Row],[Product]],'price list'!$A$2:$B$6,2,FALSE)</f>
        <v>5000</v>
      </c>
      <c r="M12">
        <f>COUNTIF(SalesData[Order ID],SalesData[[#This Row],[Order ID]])</f>
        <v>1</v>
      </c>
      <c r="N12" t="str">
        <f>IF(OR(SalesData3[[#This Row],[Payment Method]]="Cash",SalesData3[[#This Row],[Payment Method]]="Card",SalesData3[[#This Row],[Payment Method]]="Transfer"),"Valid", "Invalid")</f>
        <v>Valid</v>
      </c>
    </row>
    <row r="13" spans="1:14" x14ac:dyDescent="0.3">
      <c r="A13" s="6" t="s">
        <v>41</v>
      </c>
      <c r="B13" s="1">
        <v>46276</v>
      </c>
      <c r="C13" t="s">
        <v>42</v>
      </c>
      <c r="D13" t="s">
        <v>29</v>
      </c>
      <c r="E13" t="s">
        <v>8</v>
      </c>
      <c r="F13">
        <v>3</v>
      </c>
      <c r="G13" s="16">
        <v>3000</v>
      </c>
      <c r="H13" t="s">
        <v>9</v>
      </c>
      <c r="I13" t="s">
        <v>16</v>
      </c>
      <c r="J13" s="16">
        <f t="shared" si="0"/>
        <v>9000</v>
      </c>
      <c r="K13" t="str">
        <f>IF(SalesData3[[#This Row],[Quantity]]="", "Missing quantity", "Complete")</f>
        <v>Complete</v>
      </c>
      <c r="L13" s="16">
        <f>VLOOKUP(SalesData3[[#This Row],[Product]],'price list'!$A$2:$B$6,2,FALSE)</f>
        <v>3000</v>
      </c>
      <c r="M13">
        <f>COUNTIF(SalesData[Order ID],SalesData[[#This Row],[Order ID]])</f>
        <v>1</v>
      </c>
      <c r="N13" t="str">
        <f>IF(OR(SalesData3[[#This Row],[Payment Method]]="Cash",SalesData3[[#This Row],[Payment Method]]="Card",SalesData3[[#This Row],[Payment Method]]="Transfer"),"Valid", "Invalid")</f>
        <v>Valid</v>
      </c>
    </row>
    <row r="14" spans="1:14" x14ac:dyDescent="0.3">
      <c r="A14" s="6" t="s">
        <v>43</v>
      </c>
      <c r="B14" s="1">
        <v>46277</v>
      </c>
      <c r="C14" t="s">
        <v>44</v>
      </c>
      <c r="D14" t="s">
        <v>19</v>
      </c>
      <c r="E14" t="s">
        <v>14</v>
      </c>
      <c r="F14">
        <v>2</v>
      </c>
      <c r="G14" s="16">
        <v>12000</v>
      </c>
      <c r="H14" t="s">
        <v>9</v>
      </c>
      <c r="I14" t="s">
        <v>10</v>
      </c>
      <c r="J14" s="16">
        <f t="shared" si="0"/>
        <v>24000</v>
      </c>
      <c r="K14" t="str">
        <f>IF(SalesData3[[#This Row],[Quantity]]="", "Missing quantity", "Complete")</f>
        <v>Complete</v>
      </c>
      <c r="L14" s="16">
        <f>VLOOKUP(SalesData3[[#This Row],[Product]],'price list'!$A$2:$B$6,2,FALSE)</f>
        <v>12000</v>
      </c>
      <c r="M14">
        <f>COUNTIF(SalesData[Order ID],SalesData[[#This Row],[Order ID]])</f>
        <v>1</v>
      </c>
      <c r="N14" t="str">
        <f>IF(OR(SalesData3[[#This Row],[Payment Method]]="Cash",SalesData3[[#This Row],[Payment Method]]="Card",SalesData3[[#This Row],[Payment Method]]="Transfer"),"Valid", "Invalid")</f>
        <v>Valid</v>
      </c>
    </row>
    <row r="15" spans="1:14" x14ac:dyDescent="0.3">
      <c r="A15" s="6" t="s">
        <v>45</v>
      </c>
      <c r="B15" s="1">
        <v>46278</v>
      </c>
      <c r="C15" t="s">
        <v>46</v>
      </c>
      <c r="D15" t="s">
        <v>26</v>
      </c>
      <c r="E15" t="s">
        <v>14</v>
      </c>
      <c r="F15">
        <v>1</v>
      </c>
      <c r="G15" s="16">
        <v>18000</v>
      </c>
      <c r="H15" t="s">
        <v>15</v>
      </c>
      <c r="I15" t="s">
        <v>16</v>
      </c>
      <c r="J15" s="16">
        <f t="shared" si="0"/>
        <v>18000</v>
      </c>
      <c r="K15" t="str">
        <f>IF(SalesData3[[#This Row],[Quantity]]="", "Missing quantity", "Complete")</f>
        <v>Complete</v>
      </c>
      <c r="L15" s="16">
        <f>VLOOKUP(SalesData3[[#This Row],[Product]],'price list'!$A$2:$B$6,2,FALSE)</f>
        <v>18000</v>
      </c>
      <c r="M15">
        <f>COUNTIF(SalesData[Order ID],SalesData[[#This Row],[Order ID]])</f>
        <v>1</v>
      </c>
      <c r="N15" t="str">
        <f>IF(OR(SalesData3[[#This Row],[Payment Method]]="Cash",SalesData3[[#This Row],[Payment Method]]="Card",SalesData3[[#This Row],[Payment Method]]="Transfer"),"Valid", "Invalid")</f>
        <v>Valid</v>
      </c>
    </row>
    <row r="16" spans="1:14" x14ac:dyDescent="0.3">
      <c r="A16" s="6" t="s">
        <v>47</v>
      </c>
      <c r="B16" s="1">
        <v>46279</v>
      </c>
      <c r="C16" t="s">
        <v>48</v>
      </c>
      <c r="D16" t="s">
        <v>13</v>
      </c>
      <c r="E16" t="s">
        <v>14</v>
      </c>
      <c r="F16">
        <v>2</v>
      </c>
      <c r="G16" s="16">
        <v>5000</v>
      </c>
      <c r="H16" t="s">
        <v>9</v>
      </c>
      <c r="I16" t="s">
        <v>20</v>
      </c>
      <c r="J16" s="16">
        <f t="shared" si="0"/>
        <v>10000</v>
      </c>
      <c r="K16" t="str">
        <f>IF(SalesData3[[#This Row],[Quantity]]="", "Missing quantity", "Complete")</f>
        <v>Complete</v>
      </c>
      <c r="L16" s="16">
        <f>VLOOKUP(SalesData3[[#This Row],[Product]],'price list'!$A$2:$B$6,2,FALSE)</f>
        <v>5000</v>
      </c>
      <c r="M16">
        <f>COUNTIF(SalesData[Order ID],SalesData[[#This Row],[Order ID]])</f>
        <v>1</v>
      </c>
      <c r="N16" t="str">
        <f>IF(OR(SalesData3[[#This Row],[Payment Method]]="Cash",SalesData3[[#This Row],[Payment Method]]="Card",SalesData3[[#This Row],[Payment Method]]="Transfer"),"Valid", "Invalid")</f>
        <v>Valid</v>
      </c>
    </row>
    <row r="17" spans="6:10" x14ac:dyDescent="0.3">
      <c r="F17">
        <f>SUBTOTAL(109,SalesData3[Quantity])</f>
        <v>31</v>
      </c>
      <c r="J17" s="16">
        <f>SUM(SalesData3[Revenue])</f>
        <v>256000</v>
      </c>
    </row>
    <row r="18" spans="6:10" x14ac:dyDescent="0.3">
      <c r="I18" s="15" t="s">
        <v>67</v>
      </c>
      <c r="J18" s="16">
        <f>SUMIF(SalesData3[Region], "Abuja", SalesData3[Revenue])</f>
        <v>178000</v>
      </c>
    </row>
    <row r="19" spans="6:10" x14ac:dyDescent="0.3">
      <c r="I19" s="2" t="s">
        <v>68</v>
      </c>
      <c r="J19" s="16">
        <f>SUMIF(SalesData3[Region],"Lagos",SalesData3[Revenue])</f>
        <v>78000</v>
      </c>
    </row>
    <row r="20" spans="6:10" x14ac:dyDescent="0.3">
      <c r="I20" s="2" t="s">
        <v>69</v>
      </c>
      <c r="J20" s="16">
        <f>SUMIF(SalesData3[Product], "mouse", SalesData3[Revenue])</f>
        <v>55000</v>
      </c>
    </row>
    <row r="21" spans="6:10" x14ac:dyDescent="0.3">
      <c r="I21" s="2" t="s">
        <v>70</v>
      </c>
      <c r="J21" s="16">
        <f>SUMIFS(SalesData3[Revenue],SalesData3[Product],"mouse",SalesData3[Region], "abuja"  )</f>
        <v>10000</v>
      </c>
    </row>
    <row r="22" spans="6:10" x14ac:dyDescent="0.3">
      <c r="I22" s="2" t="s">
        <v>71</v>
      </c>
      <c r="J22">
        <f>COUNTIF(SalesData3[Payment Method], "cash")</f>
        <v>4</v>
      </c>
    </row>
    <row r="23" spans="6:10" x14ac:dyDescent="0.3">
      <c r="I23" s="2" t="s">
        <v>72</v>
      </c>
      <c r="J23">
        <f>COUNTIF(SalesData3[Region], "lagos")</f>
        <v>6</v>
      </c>
    </row>
    <row r="24" spans="6:10" x14ac:dyDescent="0.3">
      <c r="I24" s="2" t="s">
        <v>73</v>
      </c>
      <c r="J24">
        <f>COUNTIF(SalesData3[Payment Method], "card")</f>
        <v>5</v>
      </c>
    </row>
    <row r="25" spans="6:10" x14ac:dyDescent="0.3">
      <c r="I25" s="2" t="s">
        <v>74</v>
      </c>
      <c r="J25">
        <f>COUNTIFS(SalesData3[Region], "Abuja", SalesData3[Payment Method], "Card")</f>
        <v>5</v>
      </c>
    </row>
  </sheetData>
  <dataValidations count="2">
    <dataValidation type="list" allowBlank="1" showInputMessage="1" showErrorMessage="1" sqref="I2:I16" xr:uid="{EB693AA4-4444-4F8B-84E3-B00C232439FA}">
      <formula1>"Cash, Card, Transfer"</formula1>
    </dataValidation>
    <dataValidation type="whole" operator="greaterThanOrEqual" allowBlank="1" showInputMessage="1" showErrorMessage="1" sqref="F2:F16" xr:uid="{18DDB504-F2B8-4CC3-85E6-95295D0A09C2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8910-4DCA-42CB-83F4-C342BC6D8CDE}">
  <dimension ref="A1:D20"/>
  <sheetViews>
    <sheetView zoomScale="85" workbookViewId="0">
      <selection activeCell="C14" sqref="C14"/>
    </sheetView>
  </sheetViews>
  <sheetFormatPr defaultRowHeight="14.4" x14ac:dyDescent="0.3"/>
  <cols>
    <col min="1" max="1" width="9.88671875" customWidth="1"/>
    <col min="2" max="2" width="10.21875" customWidth="1"/>
    <col min="3" max="3" width="11" style="14" customWidth="1"/>
    <col min="4" max="4" width="10.21875" customWidth="1"/>
  </cols>
  <sheetData>
    <row r="1" spans="1:4" s="2" customFormat="1" x14ac:dyDescent="0.3">
      <c r="A1" s="2" t="s">
        <v>49</v>
      </c>
      <c r="B1" s="2" t="s">
        <v>4</v>
      </c>
      <c r="C1" s="12" t="s">
        <v>50</v>
      </c>
      <c r="D1" s="2" t="s">
        <v>62</v>
      </c>
    </row>
    <row r="2" spans="1:4" x14ac:dyDescent="0.3">
      <c r="A2" s="7" t="s">
        <v>6</v>
      </c>
      <c r="B2" s="9">
        <v>2</v>
      </c>
      <c r="C2" s="11">
        <v>15000</v>
      </c>
      <c r="D2">
        <f>B2*C2</f>
        <v>30000</v>
      </c>
    </row>
    <row r="3" spans="1:4" x14ac:dyDescent="0.3">
      <c r="A3" s="8" t="s">
        <v>11</v>
      </c>
      <c r="B3" s="10">
        <v>3</v>
      </c>
      <c r="C3" s="13">
        <v>5000</v>
      </c>
      <c r="D3">
        <f t="shared" ref="D3:D16" si="0">B3*C3</f>
        <v>15000</v>
      </c>
    </row>
    <row r="4" spans="1:4" x14ac:dyDescent="0.3">
      <c r="A4" s="7" t="s">
        <v>17</v>
      </c>
      <c r="B4" s="9">
        <v>1</v>
      </c>
      <c r="C4" s="11">
        <v>12000</v>
      </c>
      <c r="D4">
        <f t="shared" si="0"/>
        <v>12000</v>
      </c>
    </row>
    <row r="5" spans="1:4" x14ac:dyDescent="0.3">
      <c r="A5" s="8" t="s">
        <v>21</v>
      </c>
      <c r="B5" s="10">
        <v>1</v>
      </c>
      <c r="C5" s="13">
        <v>15000</v>
      </c>
      <c r="D5">
        <f t="shared" si="0"/>
        <v>15000</v>
      </c>
    </row>
    <row r="6" spans="1:4" x14ac:dyDescent="0.3">
      <c r="A6" s="7" t="s">
        <v>24</v>
      </c>
      <c r="B6" s="9">
        <v>2</v>
      </c>
      <c r="C6" s="11">
        <v>18000</v>
      </c>
      <c r="D6">
        <f t="shared" si="0"/>
        <v>36000</v>
      </c>
    </row>
    <row r="7" spans="1:4" x14ac:dyDescent="0.3">
      <c r="A7" s="8" t="s">
        <v>27</v>
      </c>
      <c r="B7" s="10">
        <v>5</v>
      </c>
      <c r="C7" s="13">
        <v>3000</v>
      </c>
      <c r="D7">
        <f t="shared" si="0"/>
        <v>15000</v>
      </c>
    </row>
    <row r="8" spans="1:4" x14ac:dyDescent="0.3">
      <c r="A8" s="7" t="s">
        <v>31</v>
      </c>
      <c r="B8" s="9">
        <v>2</v>
      </c>
      <c r="C8" s="11">
        <v>5000</v>
      </c>
      <c r="D8">
        <f t="shared" si="0"/>
        <v>10000</v>
      </c>
    </row>
    <row r="9" spans="1:4" x14ac:dyDescent="0.3">
      <c r="A9" s="8" t="s">
        <v>33</v>
      </c>
      <c r="B9" s="10">
        <v>1</v>
      </c>
      <c r="C9" s="13">
        <v>12000</v>
      </c>
      <c r="D9">
        <f t="shared" si="0"/>
        <v>12000</v>
      </c>
    </row>
    <row r="10" spans="1:4" x14ac:dyDescent="0.3">
      <c r="A10" s="7" t="s">
        <v>35</v>
      </c>
      <c r="B10" s="9"/>
      <c r="C10" s="11">
        <v>18000</v>
      </c>
      <c r="D10">
        <f t="shared" si="0"/>
        <v>0</v>
      </c>
    </row>
    <row r="11" spans="1:4" x14ac:dyDescent="0.3">
      <c r="A11" s="8" t="s">
        <v>37</v>
      </c>
      <c r="B11" s="10">
        <v>2</v>
      </c>
      <c r="C11" s="13">
        <v>15000</v>
      </c>
      <c r="D11">
        <f t="shared" si="0"/>
        <v>30000</v>
      </c>
    </row>
    <row r="12" spans="1:4" x14ac:dyDescent="0.3">
      <c r="A12" s="7" t="s">
        <v>39</v>
      </c>
      <c r="B12" s="9">
        <v>4</v>
      </c>
      <c r="C12" s="11">
        <v>5000</v>
      </c>
      <c r="D12">
        <f t="shared" si="0"/>
        <v>20000</v>
      </c>
    </row>
    <row r="13" spans="1:4" x14ac:dyDescent="0.3">
      <c r="A13" s="8" t="s">
        <v>41</v>
      </c>
      <c r="B13" s="10">
        <v>3</v>
      </c>
      <c r="C13" s="13">
        <v>3000</v>
      </c>
      <c r="D13">
        <f t="shared" si="0"/>
        <v>9000</v>
      </c>
    </row>
    <row r="14" spans="1:4" x14ac:dyDescent="0.3">
      <c r="A14" s="7" t="s">
        <v>43</v>
      </c>
      <c r="B14" s="9">
        <v>2</v>
      </c>
      <c r="C14" s="11">
        <v>12000</v>
      </c>
      <c r="D14">
        <f t="shared" si="0"/>
        <v>24000</v>
      </c>
    </row>
    <row r="15" spans="1:4" x14ac:dyDescent="0.3">
      <c r="A15" s="8" t="s">
        <v>45</v>
      </c>
      <c r="B15" s="10">
        <v>1</v>
      </c>
      <c r="C15" s="13">
        <v>18000</v>
      </c>
      <c r="D15">
        <f t="shared" si="0"/>
        <v>18000</v>
      </c>
    </row>
    <row r="16" spans="1:4" x14ac:dyDescent="0.3">
      <c r="A16" s="7" t="s">
        <v>47</v>
      </c>
      <c r="B16" s="9">
        <v>2</v>
      </c>
      <c r="C16" s="11">
        <v>5000</v>
      </c>
      <c r="D16">
        <f t="shared" si="0"/>
        <v>10000</v>
      </c>
    </row>
    <row r="17" spans="2:4" x14ac:dyDescent="0.3">
      <c r="B17">
        <f>SUM(B2:B16)</f>
        <v>31</v>
      </c>
      <c r="C17" s="12" t="s">
        <v>64</v>
      </c>
      <c r="D17">
        <f>SUM(Table5[Revenue])</f>
        <v>256000</v>
      </c>
    </row>
    <row r="18" spans="2:4" x14ac:dyDescent="0.3">
      <c r="C18" s="12" t="s">
        <v>63</v>
      </c>
      <c r="D18">
        <f>AVERAGE(Table5[Revenue])</f>
        <v>17066.666666666668</v>
      </c>
    </row>
    <row r="19" spans="2:4" x14ac:dyDescent="0.3">
      <c r="C19" s="12" t="s">
        <v>65</v>
      </c>
      <c r="D19">
        <f>MAX(Table5[Revenue])</f>
        <v>36000</v>
      </c>
    </row>
    <row r="20" spans="2:4" x14ac:dyDescent="0.3">
      <c r="C20" s="12" t="s">
        <v>66</v>
      </c>
      <c r="D20">
        <f>MIN(Table5[Revenue])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D014-18D1-4677-BF3A-10419F54D491}">
  <dimension ref="A1:B6"/>
  <sheetViews>
    <sheetView workbookViewId="0">
      <selection activeCell="A2" sqref="A2:B6"/>
    </sheetView>
  </sheetViews>
  <sheetFormatPr defaultRowHeight="14.4" x14ac:dyDescent="0.3"/>
  <cols>
    <col min="1" max="1" width="17.21875" customWidth="1"/>
    <col min="2" max="2" width="18.109375" customWidth="1"/>
  </cols>
  <sheetData>
    <row r="1" spans="1:2" s="2" customFormat="1" x14ac:dyDescent="0.3">
      <c r="A1" s="2" t="s">
        <v>2</v>
      </c>
      <c r="B1" s="2" t="s">
        <v>50</v>
      </c>
    </row>
    <row r="2" spans="1:2" x14ac:dyDescent="0.3">
      <c r="A2" t="s">
        <v>52</v>
      </c>
      <c r="B2" s="16">
        <v>15000</v>
      </c>
    </row>
    <row r="3" spans="1:2" x14ac:dyDescent="0.3">
      <c r="A3" t="s">
        <v>13</v>
      </c>
      <c r="B3" s="16">
        <v>5000</v>
      </c>
    </row>
    <row r="4" spans="1:2" x14ac:dyDescent="0.3">
      <c r="A4" t="s">
        <v>19</v>
      </c>
      <c r="B4" s="16">
        <v>12000</v>
      </c>
    </row>
    <row r="5" spans="1:2" x14ac:dyDescent="0.3">
      <c r="A5" t="s">
        <v>26</v>
      </c>
      <c r="B5" s="16">
        <v>18000</v>
      </c>
    </row>
    <row r="6" spans="1:2" x14ac:dyDescent="0.3">
      <c r="A6" t="s">
        <v>29</v>
      </c>
      <c r="B6" s="16">
        <v>3000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043D-DB44-4F46-9D68-A45761623FD3}">
  <dimension ref="A3:B21"/>
  <sheetViews>
    <sheetView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8" t="s">
        <v>85</v>
      </c>
      <c r="B3" t="s">
        <v>87</v>
      </c>
    </row>
    <row r="4" spans="1:2" x14ac:dyDescent="0.3">
      <c r="A4" s="19" t="s">
        <v>26</v>
      </c>
      <c r="B4" s="16">
        <v>54000</v>
      </c>
    </row>
    <row r="5" spans="1:2" x14ac:dyDescent="0.3">
      <c r="A5" s="19" t="s">
        <v>19</v>
      </c>
      <c r="B5" s="16">
        <v>48000</v>
      </c>
    </row>
    <row r="6" spans="1:2" x14ac:dyDescent="0.3">
      <c r="A6" s="19" t="s">
        <v>52</v>
      </c>
      <c r="B6" s="16">
        <v>75000</v>
      </c>
    </row>
    <row r="7" spans="1:2" x14ac:dyDescent="0.3">
      <c r="A7" s="19" t="s">
        <v>13</v>
      </c>
      <c r="B7" s="16">
        <v>55000</v>
      </c>
    </row>
    <row r="8" spans="1:2" x14ac:dyDescent="0.3">
      <c r="A8" s="19" t="s">
        <v>29</v>
      </c>
      <c r="B8" s="16">
        <v>24000</v>
      </c>
    </row>
    <row r="9" spans="1:2" x14ac:dyDescent="0.3">
      <c r="A9" s="19" t="s">
        <v>86</v>
      </c>
      <c r="B9" s="16">
        <v>256000</v>
      </c>
    </row>
    <row r="11" spans="1:2" x14ac:dyDescent="0.3">
      <c r="A11" s="18" t="s">
        <v>85</v>
      </c>
      <c r="B11" t="s">
        <v>88</v>
      </c>
    </row>
    <row r="12" spans="1:2" x14ac:dyDescent="0.3">
      <c r="A12" s="19" t="s">
        <v>10</v>
      </c>
      <c r="B12">
        <v>5</v>
      </c>
    </row>
    <row r="13" spans="1:2" x14ac:dyDescent="0.3">
      <c r="A13" s="19" t="s">
        <v>20</v>
      </c>
      <c r="B13">
        <v>4</v>
      </c>
    </row>
    <row r="14" spans="1:2" x14ac:dyDescent="0.3">
      <c r="A14" s="19" t="s">
        <v>16</v>
      </c>
      <c r="B14">
        <v>6</v>
      </c>
    </row>
    <row r="15" spans="1:2" x14ac:dyDescent="0.3">
      <c r="A15" s="19" t="s">
        <v>86</v>
      </c>
      <c r="B15">
        <v>15</v>
      </c>
    </row>
    <row r="17" spans="1:2" x14ac:dyDescent="0.3">
      <c r="A17" s="18" t="s">
        <v>85</v>
      </c>
      <c r="B17" t="s">
        <v>87</v>
      </c>
    </row>
    <row r="18" spans="1:2" x14ac:dyDescent="0.3">
      <c r="A18" s="19" t="s">
        <v>10</v>
      </c>
      <c r="B18" s="16">
        <v>132000</v>
      </c>
    </row>
    <row r="19" spans="1:2" x14ac:dyDescent="0.3">
      <c r="A19" s="19" t="s">
        <v>20</v>
      </c>
      <c r="B19" s="16">
        <v>52000</v>
      </c>
    </row>
    <row r="20" spans="1:2" x14ac:dyDescent="0.3">
      <c r="A20" s="19" t="s">
        <v>16</v>
      </c>
      <c r="B20" s="16">
        <v>72000</v>
      </c>
    </row>
    <row r="21" spans="1:2" x14ac:dyDescent="0.3">
      <c r="A21" s="19" t="s">
        <v>86</v>
      </c>
      <c r="B21" s="16">
        <v>256000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1568-9C9A-4658-8169-2CA1D0AB63F5}">
  <dimension ref="A1:I20"/>
  <sheetViews>
    <sheetView zoomScale="118" workbookViewId="0">
      <selection activeCell="C12" sqref="C12"/>
    </sheetView>
  </sheetViews>
  <sheetFormatPr defaultRowHeight="14.4" x14ac:dyDescent="0.3"/>
  <cols>
    <col min="3" max="3" width="5" customWidth="1"/>
    <col min="4" max="4" width="15.5546875" customWidth="1"/>
  </cols>
  <sheetData>
    <row r="1" spans="1:9" x14ac:dyDescent="0.3">
      <c r="A1" s="32" t="s">
        <v>89</v>
      </c>
      <c r="B1" s="32"/>
      <c r="C1" s="32"/>
      <c r="D1" s="32"/>
      <c r="E1" s="32"/>
      <c r="F1" s="32"/>
      <c r="G1" s="32"/>
      <c r="H1" s="32"/>
      <c r="I1" s="32"/>
    </row>
    <row r="3" spans="1:9" x14ac:dyDescent="0.3">
      <c r="A3" s="31" t="s">
        <v>90</v>
      </c>
      <c r="B3" s="31"/>
      <c r="C3" s="31"/>
      <c r="D3" s="34" t="s">
        <v>91</v>
      </c>
      <c r="E3" s="34"/>
      <c r="F3" s="34"/>
    </row>
    <row r="5" spans="1:9" x14ac:dyDescent="0.3">
      <c r="A5" s="31" t="s">
        <v>92</v>
      </c>
      <c r="B5" s="31"/>
      <c r="C5" s="31"/>
      <c r="D5" s="34" t="s">
        <v>93</v>
      </c>
      <c r="E5" s="34"/>
      <c r="F5" s="34"/>
      <c r="G5" s="34"/>
      <c r="H5" s="34"/>
    </row>
    <row r="7" spans="1:9" x14ac:dyDescent="0.3">
      <c r="A7" s="31" t="s">
        <v>94</v>
      </c>
      <c r="B7" s="31"/>
      <c r="C7" s="31"/>
      <c r="D7" s="34" t="s">
        <v>95</v>
      </c>
      <c r="E7" s="34"/>
      <c r="F7" s="34"/>
      <c r="G7" s="34"/>
      <c r="H7" s="34"/>
      <c r="I7" s="34"/>
    </row>
    <row r="9" spans="1:9" x14ac:dyDescent="0.3">
      <c r="A9" s="31" t="s">
        <v>96</v>
      </c>
      <c r="B9" s="31"/>
      <c r="C9" s="31"/>
      <c r="D9" s="33" t="s">
        <v>97</v>
      </c>
      <c r="E9" s="33"/>
      <c r="F9" s="33"/>
      <c r="G9" s="33"/>
      <c r="H9" s="33"/>
      <c r="I9" s="33"/>
    </row>
    <row r="10" spans="1:9" x14ac:dyDescent="0.3">
      <c r="D10" s="33"/>
      <c r="E10" s="33"/>
      <c r="F10" s="33"/>
      <c r="G10" s="33"/>
      <c r="H10" s="33"/>
      <c r="I10" s="33"/>
    </row>
    <row r="12" spans="1:9" x14ac:dyDescent="0.3">
      <c r="A12" s="32" t="s">
        <v>99</v>
      </c>
      <c r="B12" s="32"/>
      <c r="D12" s="30" t="s">
        <v>98</v>
      </c>
      <c r="E12" s="30"/>
      <c r="F12" s="30"/>
      <c r="G12" s="30"/>
      <c r="H12" s="30"/>
      <c r="I12" s="30"/>
    </row>
    <row r="13" spans="1:9" x14ac:dyDescent="0.3">
      <c r="D13" s="30"/>
      <c r="E13" s="30"/>
      <c r="F13" s="30"/>
      <c r="G13" s="30"/>
      <c r="H13" s="30"/>
      <c r="I13" s="30"/>
    </row>
    <row r="15" spans="1:9" x14ac:dyDescent="0.3">
      <c r="A15" s="31" t="s">
        <v>100</v>
      </c>
      <c r="B15" s="31"/>
      <c r="C15" s="31"/>
      <c r="D15" s="30" t="s">
        <v>101</v>
      </c>
      <c r="E15" s="30"/>
      <c r="F15" s="30"/>
      <c r="G15" s="30"/>
      <c r="H15" s="30"/>
      <c r="I15" s="30"/>
    </row>
    <row r="16" spans="1:9" x14ac:dyDescent="0.3">
      <c r="D16" s="30"/>
      <c r="E16" s="30"/>
      <c r="F16" s="30"/>
      <c r="G16" s="30"/>
      <c r="H16" s="30"/>
      <c r="I16" s="30"/>
    </row>
    <row r="17" spans="1:9" x14ac:dyDescent="0.3">
      <c r="D17" s="20"/>
      <c r="E17" s="20"/>
      <c r="F17" s="20"/>
      <c r="G17" s="20"/>
      <c r="H17" s="20"/>
      <c r="I17" s="20"/>
    </row>
    <row r="18" spans="1:9" ht="14.4" customHeight="1" x14ac:dyDescent="0.3">
      <c r="A18" s="31" t="s">
        <v>102</v>
      </c>
      <c r="B18" s="31"/>
      <c r="C18" s="31"/>
      <c r="D18" s="30" t="s">
        <v>103</v>
      </c>
      <c r="E18" s="30"/>
      <c r="F18" s="30"/>
      <c r="G18" s="30"/>
      <c r="H18" s="30"/>
      <c r="I18" s="30"/>
    </row>
    <row r="19" spans="1:9" x14ac:dyDescent="0.3">
      <c r="D19" s="30"/>
      <c r="E19" s="30"/>
      <c r="F19" s="30"/>
      <c r="G19" s="30"/>
      <c r="H19" s="30"/>
      <c r="I19" s="30"/>
    </row>
    <row r="20" spans="1:9" x14ac:dyDescent="0.3">
      <c r="D20" s="30"/>
      <c r="E20" s="30"/>
      <c r="F20" s="30"/>
      <c r="G20" s="30"/>
      <c r="H20" s="30"/>
      <c r="I20" s="30"/>
    </row>
  </sheetData>
  <mergeCells count="15">
    <mergeCell ref="A18:C18"/>
    <mergeCell ref="D18:I20"/>
    <mergeCell ref="A3:C3"/>
    <mergeCell ref="A1:I1"/>
    <mergeCell ref="A9:C9"/>
    <mergeCell ref="D9:I10"/>
    <mergeCell ref="A12:B12"/>
    <mergeCell ref="D12:I13"/>
    <mergeCell ref="A15:C15"/>
    <mergeCell ref="D15:I16"/>
    <mergeCell ref="D3:F3"/>
    <mergeCell ref="A5:C5"/>
    <mergeCell ref="D5:H5"/>
    <mergeCell ref="A7:C7"/>
    <mergeCell ref="D7:I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9C84-DA15-41FF-AA89-E56A7EF44C94}">
  <dimension ref="A1:B8"/>
  <sheetViews>
    <sheetView workbookViewId="0">
      <selection activeCell="B4" sqref="B4"/>
    </sheetView>
  </sheetViews>
  <sheetFormatPr defaultRowHeight="14.4" x14ac:dyDescent="0.3"/>
  <cols>
    <col min="1" max="1" width="22" customWidth="1"/>
    <col min="2" max="2" width="16.77734375" customWidth="1"/>
  </cols>
  <sheetData>
    <row r="1" spans="1:2" x14ac:dyDescent="0.3">
      <c r="A1" s="2" t="s">
        <v>77</v>
      </c>
    </row>
    <row r="3" spans="1:2" s="2" customFormat="1" x14ac:dyDescent="0.3">
      <c r="A3" s="2" t="s">
        <v>78</v>
      </c>
      <c r="B3" s="2" t="s">
        <v>79</v>
      </c>
    </row>
    <row r="4" spans="1:2" x14ac:dyDescent="0.3">
      <c r="A4" t="s">
        <v>80</v>
      </c>
      <c r="B4" s="16">
        <f>SUM(SalesData[Revenue])</f>
        <v>256000</v>
      </c>
    </row>
    <row r="5" spans="1:2" x14ac:dyDescent="0.3">
      <c r="A5" t="s">
        <v>82</v>
      </c>
      <c r="B5">
        <f>SUM(SalesData[Quantity])</f>
        <v>31</v>
      </c>
    </row>
    <row r="6" spans="1:2" x14ac:dyDescent="0.3">
      <c r="A6" t="s">
        <v>81</v>
      </c>
      <c r="B6">
        <f>COUNTIF(SalesData[Payment Method], "cash")</f>
        <v>4</v>
      </c>
    </row>
    <row r="7" spans="1:2" x14ac:dyDescent="0.3">
      <c r="A7" t="s">
        <v>83</v>
      </c>
      <c r="B7">
        <f>COUNTIF(SalesData[Region],"lagos")</f>
        <v>6</v>
      </c>
    </row>
    <row r="8" spans="1:2" x14ac:dyDescent="0.3">
      <c r="A8" t="s">
        <v>84</v>
      </c>
      <c r="B8" s="16">
        <f>SUMIF(SalesData[Region],"abuja", SalesData[Revenue])</f>
        <v>178000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76CD-BE7F-4490-964B-0BE22055A507}">
  <dimension ref="A1:C18"/>
  <sheetViews>
    <sheetView zoomScale="88" workbookViewId="0">
      <selection sqref="A1:C1"/>
    </sheetView>
  </sheetViews>
  <sheetFormatPr defaultRowHeight="14.4" x14ac:dyDescent="0.3"/>
  <cols>
    <col min="1" max="1" width="37.109375" customWidth="1"/>
    <col min="2" max="2" width="13.109375" customWidth="1"/>
    <col min="3" max="3" width="19.33203125" customWidth="1"/>
  </cols>
  <sheetData>
    <row r="1" spans="1:3" x14ac:dyDescent="0.3">
      <c r="A1" s="32" t="s">
        <v>104</v>
      </c>
      <c r="B1" s="32"/>
      <c r="C1" s="32"/>
    </row>
    <row r="3" spans="1:3" x14ac:dyDescent="0.3">
      <c r="A3" s="2" t="s">
        <v>105</v>
      </c>
      <c r="B3" s="2" t="s">
        <v>79</v>
      </c>
    </row>
    <row r="4" spans="1:3" x14ac:dyDescent="0.3">
      <c r="A4" t="s">
        <v>106</v>
      </c>
      <c r="B4" s="16">
        <f>SUM(SalesData[Revenue])</f>
        <v>256000</v>
      </c>
    </row>
    <row r="5" spans="1:3" x14ac:dyDescent="0.3">
      <c r="A5" t="s">
        <v>107</v>
      </c>
      <c r="B5">
        <f>COUNTA(SalesData[Order ID])</f>
        <v>15</v>
      </c>
    </row>
    <row r="6" spans="1:3" x14ac:dyDescent="0.3">
      <c r="A6" t="s">
        <v>108</v>
      </c>
      <c r="B6">
        <f>COUNT(SalesData[Revenue])</f>
        <v>14</v>
      </c>
    </row>
    <row r="7" spans="1:3" x14ac:dyDescent="0.3">
      <c r="A7" t="s">
        <v>109</v>
      </c>
      <c r="B7" s="21">
        <f>AVERAGE(SalesData[Revenue])</f>
        <v>18285.714285714286</v>
      </c>
    </row>
    <row r="8" spans="1:3" x14ac:dyDescent="0.3">
      <c r="A8" t="s">
        <v>82</v>
      </c>
      <c r="B8">
        <f>SUM(SalesData[Quantity])</f>
        <v>31</v>
      </c>
    </row>
    <row r="10" spans="1:3" x14ac:dyDescent="0.3">
      <c r="A10" t="s">
        <v>109</v>
      </c>
      <c r="B10" s="21">
        <f>AVERAGE(SalesData[Revenue])</f>
        <v>18285.714285714286</v>
      </c>
    </row>
    <row r="11" spans="1:3" x14ac:dyDescent="0.3">
      <c r="A11" t="s">
        <v>110</v>
      </c>
      <c r="B11">
        <f>COUNTBLANK(SalesData[Revenue])</f>
        <v>1</v>
      </c>
    </row>
    <row r="13" spans="1:3" x14ac:dyDescent="0.3">
      <c r="A13" s="2" t="s">
        <v>111</v>
      </c>
      <c r="B13" s="2"/>
      <c r="C13" s="25"/>
    </row>
    <row r="14" spans="1:3" x14ac:dyDescent="0.3">
      <c r="A14" s="2" t="s">
        <v>112</v>
      </c>
      <c r="B14" s="2" t="s">
        <v>62</v>
      </c>
      <c r="C14" s="2" t="s">
        <v>113</v>
      </c>
    </row>
    <row r="15" spans="1:3" x14ac:dyDescent="0.3">
      <c r="A15" t="s">
        <v>20</v>
      </c>
      <c r="B15" s="22">
        <f>SUMIF(SalesData[Payment Method],A15,SalesData[Revenue])</f>
        <v>52000</v>
      </c>
      <c r="C15" s="23">
        <f>B15/$B$4</f>
        <v>0.203125</v>
      </c>
    </row>
    <row r="16" spans="1:3" x14ac:dyDescent="0.3">
      <c r="A16" t="s">
        <v>10</v>
      </c>
      <c r="B16" s="22">
        <f>SUMIF(SalesData[Payment Method],A16,SalesData[Revenue])</f>
        <v>132000</v>
      </c>
      <c r="C16" s="23">
        <f t="shared" ref="C16:C17" si="0">B16/$B$4</f>
        <v>0.515625</v>
      </c>
    </row>
    <row r="17" spans="1:3" x14ac:dyDescent="0.3">
      <c r="A17" t="s">
        <v>16</v>
      </c>
      <c r="B17" s="22">
        <f>SUMIF(SalesData[Payment Method],A17,SalesData[Revenue])</f>
        <v>72000</v>
      </c>
      <c r="C17" s="23">
        <f t="shared" si="0"/>
        <v>0.28125</v>
      </c>
    </row>
    <row r="18" spans="1:3" x14ac:dyDescent="0.3">
      <c r="A18" t="s">
        <v>114</v>
      </c>
      <c r="B18" s="16">
        <f>SUM(B15:B17)</f>
        <v>256000</v>
      </c>
      <c r="C18" s="23">
        <f>SUM(C15:C17)</f>
        <v>1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C463-5478-4662-BF50-ECC4B68F46FF}">
  <dimension ref="A1:J19"/>
  <sheetViews>
    <sheetView topLeftCell="S1" workbookViewId="0">
      <selection activeCell="C12" sqref="C12"/>
    </sheetView>
  </sheetViews>
  <sheetFormatPr defaultRowHeight="14.4" x14ac:dyDescent="0.3"/>
  <cols>
    <col min="3" max="3" width="20.6640625" customWidth="1"/>
  </cols>
  <sheetData>
    <row r="1" spans="1:10" x14ac:dyDescent="0.3">
      <c r="A1" s="32" t="s">
        <v>104</v>
      </c>
      <c r="B1" s="32"/>
      <c r="C1" s="32"/>
      <c r="D1" s="32"/>
      <c r="E1" s="32"/>
      <c r="F1" s="32"/>
      <c r="G1" s="32"/>
      <c r="H1" s="32"/>
      <c r="I1" s="32"/>
      <c r="J1" s="32"/>
    </row>
    <row r="3" spans="1:10" x14ac:dyDescent="0.3">
      <c r="A3" s="2" t="s">
        <v>106</v>
      </c>
      <c r="B3" s="2"/>
      <c r="C3" s="2"/>
      <c r="D3" s="34" t="s">
        <v>93</v>
      </c>
      <c r="E3" s="34"/>
      <c r="F3" s="34"/>
      <c r="G3" s="34"/>
      <c r="H3" s="34"/>
      <c r="I3" s="34"/>
      <c r="J3" s="34"/>
    </row>
    <row r="4" spans="1:10" x14ac:dyDescent="0.3">
      <c r="A4" s="2" t="s">
        <v>108</v>
      </c>
      <c r="B4" s="2"/>
      <c r="C4" s="2"/>
      <c r="D4" s="30" t="s">
        <v>115</v>
      </c>
      <c r="E4" s="30"/>
      <c r="F4" s="30"/>
      <c r="G4" s="30"/>
      <c r="H4" s="30"/>
      <c r="I4" s="30"/>
      <c r="J4" s="30"/>
    </row>
    <row r="5" spans="1:10" x14ac:dyDescent="0.3">
      <c r="A5" s="2"/>
      <c r="B5" s="2"/>
      <c r="C5" s="2"/>
      <c r="D5" s="30"/>
      <c r="E5" s="30"/>
      <c r="F5" s="30"/>
      <c r="G5" s="30"/>
      <c r="H5" s="30"/>
      <c r="I5" s="30"/>
      <c r="J5" s="30"/>
    </row>
    <row r="6" spans="1:10" x14ac:dyDescent="0.3">
      <c r="A6" s="2" t="s">
        <v>109</v>
      </c>
      <c r="B6" s="2"/>
      <c r="C6" s="2"/>
      <c r="D6" s="30" t="s">
        <v>116</v>
      </c>
      <c r="E6" s="30"/>
      <c r="F6" s="30"/>
      <c r="G6" s="30"/>
      <c r="H6" s="30"/>
      <c r="I6" s="30"/>
      <c r="J6" s="30"/>
    </row>
    <row r="7" spans="1:10" x14ac:dyDescent="0.3">
      <c r="A7" s="2"/>
      <c r="B7" s="2"/>
      <c r="C7" s="2"/>
      <c r="D7" s="30"/>
      <c r="E7" s="30"/>
      <c r="F7" s="30"/>
      <c r="G7" s="30"/>
      <c r="H7" s="30"/>
      <c r="I7" s="30"/>
      <c r="J7" s="30"/>
    </row>
    <row r="8" spans="1:10" x14ac:dyDescent="0.3">
      <c r="A8" s="2" t="s">
        <v>117</v>
      </c>
      <c r="B8" s="2"/>
      <c r="C8" s="2"/>
      <c r="D8" s="34" t="s">
        <v>118</v>
      </c>
      <c r="E8" s="34"/>
      <c r="F8" s="34"/>
      <c r="G8" s="34"/>
      <c r="H8" s="34"/>
      <c r="I8" s="34"/>
      <c r="J8" s="34"/>
    </row>
    <row r="9" spans="1:10" x14ac:dyDescent="0.3">
      <c r="A9" s="2" t="s">
        <v>119</v>
      </c>
      <c r="D9" s="35" t="s">
        <v>120</v>
      </c>
      <c r="E9" s="35"/>
      <c r="F9" s="35"/>
      <c r="G9" s="35"/>
      <c r="H9" s="35"/>
      <c r="I9" s="35"/>
      <c r="J9" s="35"/>
    </row>
    <row r="10" spans="1:10" x14ac:dyDescent="0.3">
      <c r="D10" s="35" t="s">
        <v>121</v>
      </c>
      <c r="E10" s="35"/>
      <c r="F10" s="35"/>
      <c r="G10" s="35"/>
      <c r="H10" s="35"/>
      <c r="I10" s="35"/>
      <c r="J10" s="35"/>
    </row>
    <row r="11" spans="1:10" x14ac:dyDescent="0.3">
      <c r="D11" s="35" t="s">
        <v>122</v>
      </c>
      <c r="E11" s="35"/>
      <c r="F11" s="35"/>
      <c r="G11" s="35"/>
      <c r="H11" s="35"/>
      <c r="I11" s="35"/>
      <c r="J11" s="35"/>
    </row>
    <row r="12" spans="1:10" ht="14.4" customHeight="1" x14ac:dyDescent="0.3">
      <c r="A12" s="2" t="s">
        <v>123</v>
      </c>
      <c r="D12" s="30" t="s">
        <v>124</v>
      </c>
      <c r="E12" s="30"/>
      <c r="F12" s="30"/>
      <c r="G12" s="30"/>
      <c r="H12" s="30"/>
      <c r="I12" s="30"/>
      <c r="J12" s="30"/>
    </row>
    <row r="13" spans="1:10" x14ac:dyDescent="0.3">
      <c r="A13" s="2"/>
      <c r="D13" s="30"/>
      <c r="E13" s="30"/>
      <c r="F13" s="30"/>
      <c r="G13" s="30"/>
      <c r="H13" s="30"/>
      <c r="I13" s="30"/>
      <c r="J13" s="30"/>
    </row>
    <row r="14" spans="1:10" x14ac:dyDescent="0.3">
      <c r="A14" s="2"/>
      <c r="D14" s="30"/>
      <c r="E14" s="30"/>
      <c r="F14" s="30"/>
      <c r="G14" s="30"/>
      <c r="H14" s="30"/>
      <c r="I14" s="30"/>
      <c r="J14" s="30"/>
    </row>
    <row r="15" spans="1:10" x14ac:dyDescent="0.3">
      <c r="A15" s="2" t="s">
        <v>100</v>
      </c>
      <c r="D15" s="30" t="s">
        <v>125</v>
      </c>
      <c r="E15" s="30"/>
      <c r="F15" s="30"/>
      <c r="G15" s="30"/>
      <c r="H15" s="30"/>
      <c r="I15" s="30"/>
      <c r="J15" s="30"/>
    </row>
    <row r="16" spans="1:10" x14ac:dyDescent="0.3">
      <c r="A16" s="2"/>
      <c r="D16" s="30"/>
      <c r="E16" s="30"/>
      <c r="F16" s="30"/>
      <c r="G16" s="30"/>
      <c r="H16" s="30"/>
      <c r="I16" s="30"/>
      <c r="J16" s="30"/>
    </row>
    <row r="17" spans="1:10" x14ac:dyDescent="0.3">
      <c r="A17" s="2"/>
      <c r="D17" s="30"/>
      <c r="E17" s="30"/>
      <c r="F17" s="30"/>
      <c r="G17" s="30"/>
      <c r="H17" s="30"/>
      <c r="I17" s="30"/>
      <c r="J17" s="30"/>
    </row>
    <row r="18" spans="1:10" x14ac:dyDescent="0.3">
      <c r="A18" s="2" t="s">
        <v>126</v>
      </c>
      <c r="D18" s="30" t="s">
        <v>127</v>
      </c>
      <c r="E18" s="30"/>
      <c r="F18" s="30"/>
      <c r="G18" s="30"/>
      <c r="H18" s="30"/>
      <c r="I18" s="30"/>
      <c r="J18" s="30"/>
    </row>
    <row r="19" spans="1:10" x14ac:dyDescent="0.3">
      <c r="D19" s="30"/>
      <c r="E19" s="30"/>
      <c r="F19" s="30"/>
      <c r="G19" s="30"/>
      <c r="H19" s="30"/>
      <c r="I19" s="30"/>
      <c r="J19" s="30"/>
    </row>
  </sheetData>
  <mergeCells count="11">
    <mergeCell ref="D12:J14"/>
    <mergeCell ref="D15:J17"/>
    <mergeCell ref="D18:J19"/>
    <mergeCell ref="A1:J1"/>
    <mergeCell ref="D4:J5"/>
    <mergeCell ref="D3:J3"/>
    <mergeCell ref="D6:J7"/>
    <mergeCell ref="D8:J8"/>
    <mergeCell ref="D9:J9"/>
    <mergeCell ref="D10:J10"/>
    <mergeCell ref="D11:J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FBB1-C3C5-4E6C-80D0-352800D4D83B}">
  <dimension ref="A1:B8"/>
  <sheetViews>
    <sheetView workbookViewId="0">
      <selection activeCell="A27" sqref="A27"/>
    </sheetView>
  </sheetViews>
  <sheetFormatPr defaultRowHeight="14.4" x14ac:dyDescent="0.3"/>
  <cols>
    <col min="1" max="1" width="22" customWidth="1"/>
    <col min="2" max="2" width="10.77734375" customWidth="1"/>
  </cols>
  <sheetData>
    <row r="1" spans="1:2" x14ac:dyDescent="0.3">
      <c r="A1" s="2" t="s">
        <v>138</v>
      </c>
    </row>
    <row r="3" spans="1:2" x14ac:dyDescent="0.3">
      <c r="A3" s="2" t="s">
        <v>139</v>
      </c>
      <c r="B3" s="2" t="s">
        <v>79</v>
      </c>
    </row>
    <row r="4" spans="1:2" x14ac:dyDescent="0.3">
      <c r="A4" t="s">
        <v>133</v>
      </c>
      <c r="B4">
        <f>COUNTA(SalesData[Order ID])</f>
        <v>15</v>
      </c>
    </row>
    <row r="5" spans="1:2" x14ac:dyDescent="0.3">
      <c r="A5" t="s">
        <v>140</v>
      </c>
      <c r="B5">
        <f>COUNTBLANK(SalesData[Quantity])</f>
        <v>1</v>
      </c>
    </row>
    <row r="6" spans="1:2" x14ac:dyDescent="0.3">
      <c r="A6" t="s">
        <v>141</v>
      </c>
      <c r="B6">
        <f>COUNTBLANK(SalesData[Revenue])</f>
        <v>1</v>
      </c>
    </row>
    <row r="7" spans="1:2" x14ac:dyDescent="0.3">
      <c r="A7" t="s">
        <v>142</v>
      </c>
      <c r="B7">
        <f>COUNTIF(SalesData3[Duplicate Check], "&gt;1")</f>
        <v>0</v>
      </c>
    </row>
    <row r="8" spans="1:2" x14ac:dyDescent="0.3">
      <c r="A8" t="s">
        <v>143</v>
      </c>
      <c r="B8">
        <f>COUNTIF(SalesData3[Payment Check], "Invalid")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raw data</vt:lpstr>
      <vt:lpstr>clean data</vt:lpstr>
      <vt:lpstr>cleaning notes</vt:lpstr>
      <vt:lpstr>sales data</vt:lpstr>
      <vt:lpstr>anaylsis</vt:lpstr>
      <vt:lpstr>price list</vt:lpstr>
      <vt:lpstr>pivot analysis</vt:lpstr>
      <vt:lpstr>analysis notes</vt:lpstr>
      <vt:lpstr>sales summary</vt:lpstr>
      <vt:lpstr>KPI analysis</vt:lpstr>
      <vt:lpstr>KPI notes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Nwawuba-Bernard</dc:creator>
  <cp:lastModifiedBy>Princess Nwawuba-Bernard</cp:lastModifiedBy>
  <cp:lastPrinted>2026-10-10T12:52:18Z</cp:lastPrinted>
  <dcterms:created xsi:type="dcterms:W3CDTF">2026-10-10T11:46:20Z</dcterms:created>
  <dcterms:modified xsi:type="dcterms:W3CDTF">2026-10-17T11:11:23Z</dcterms:modified>
</cp:coreProperties>
</file>